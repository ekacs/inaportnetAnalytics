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278F3A9-E743-406D-A272-15804F6BAC4F}" xr6:coauthVersionLast="47" xr6:coauthVersionMax="47" xr10:uidLastSave="{00000000-0000-0000-0000-000000000000}"/>
  <bookViews>
    <workbookView xWindow="-108" yWindow="-108" windowWidth="23256" windowHeight="12456" tabRatio="500" activeTab="3" xr2:uid="{00000000-000D-0000-FFFF-FFFF00000000}"/>
  </bookViews>
  <sheets>
    <sheet name="Petunjuk" sheetId="1" r:id="rId1"/>
    <sheet name="Input Responden" sheetId="2" r:id="rId2"/>
    <sheet name="Perhitungan Detail" sheetId="3" r:id="rId3"/>
    <sheet name="Rekap Bobot Akhir" sheetId="4" r:id="rId4"/>
    <sheet name="Simulasi PI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65" i="3" l="1"/>
  <c r="D653" i="3"/>
  <c r="B655" i="3" s="1"/>
  <c r="C701" i="3"/>
  <c r="B702" i="3" s="1"/>
  <c r="C689" i="3"/>
  <c r="B690" i="3" s="1"/>
  <c r="C677" i="3"/>
  <c r="B678" i="3" s="1"/>
  <c r="C665" i="3"/>
  <c r="B666" i="3" s="1"/>
  <c r="C653" i="3"/>
  <c r="B654" i="3" s="1"/>
  <c r="I57" i="2"/>
  <c r="H57" i="2"/>
  <c r="E642" i="3" s="1"/>
  <c r="C644" i="3" s="1"/>
  <c r="G57" i="2"/>
  <c r="D642" i="3" s="1"/>
  <c r="C643" i="3" s="1"/>
  <c r="F57" i="2"/>
  <c r="E641" i="3" s="1"/>
  <c r="E57" i="2"/>
  <c r="D57" i="2"/>
  <c r="I56" i="2"/>
  <c r="H56" i="2"/>
  <c r="G56" i="2"/>
  <c r="D630" i="3" s="1"/>
  <c r="C631" i="3" s="1"/>
  <c r="F56" i="2"/>
  <c r="E629" i="3" s="1"/>
  <c r="E56" i="2"/>
  <c r="D629" i="3" s="1"/>
  <c r="D56" i="2"/>
  <c r="C629" i="3" s="1"/>
  <c r="B630" i="3" s="1"/>
  <c r="I55" i="2"/>
  <c r="H55" i="2"/>
  <c r="E618" i="3" s="1"/>
  <c r="C620" i="3" s="1"/>
  <c r="G55" i="2"/>
  <c r="D618" i="3" s="1"/>
  <c r="C619" i="3" s="1"/>
  <c r="F55" i="2"/>
  <c r="E617" i="3" s="1"/>
  <c r="E55" i="2"/>
  <c r="D55" i="2"/>
  <c r="I54" i="2"/>
  <c r="E607" i="3" s="1"/>
  <c r="D608" i="3" s="1"/>
  <c r="H54" i="2"/>
  <c r="G54" i="2"/>
  <c r="F54" i="2"/>
  <c r="E605" i="3" s="1"/>
  <c r="E54" i="2"/>
  <c r="D605" i="3" s="1"/>
  <c r="D54" i="2"/>
  <c r="C605" i="3" s="1"/>
  <c r="I53" i="2"/>
  <c r="H53" i="2"/>
  <c r="G53" i="2"/>
  <c r="F53" i="2"/>
  <c r="E53" i="2"/>
  <c r="D53" i="2"/>
  <c r="I52" i="2"/>
  <c r="H52" i="2"/>
  <c r="G52" i="2"/>
  <c r="D582" i="3" s="1"/>
  <c r="C583" i="3" s="1"/>
  <c r="F52" i="2"/>
  <c r="E581" i="3" s="1"/>
  <c r="B584" i="3" s="1"/>
  <c r="E52" i="2"/>
  <c r="D581" i="3" s="1"/>
  <c r="D52" i="2"/>
  <c r="C581" i="3" s="1"/>
  <c r="B582" i="3" s="1"/>
  <c r="I51" i="2"/>
  <c r="H51" i="2"/>
  <c r="G51" i="2"/>
  <c r="F51" i="2"/>
  <c r="E569" i="3" s="1"/>
  <c r="B572" i="3" s="1"/>
  <c r="E51" i="2"/>
  <c r="D51" i="2"/>
  <c r="I50" i="2"/>
  <c r="E559" i="3" s="1"/>
  <c r="D560" i="3" s="1"/>
  <c r="H50" i="2"/>
  <c r="E558" i="3" s="1"/>
  <c r="C560" i="3" s="1"/>
  <c r="G50" i="2"/>
  <c r="D558" i="3" s="1"/>
  <c r="C559" i="3" s="1"/>
  <c r="F50" i="2"/>
  <c r="E557" i="3" s="1"/>
  <c r="B560" i="3" s="1"/>
  <c r="E50" i="2"/>
  <c r="D557" i="3" s="1"/>
  <c r="B559" i="3" s="1"/>
  <c r="D50" i="2"/>
  <c r="C557" i="3" s="1"/>
  <c r="I49" i="2"/>
  <c r="H49" i="2"/>
  <c r="E546" i="3" s="1"/>
  <c r="C548" i="3" s="1"/>
  <c r="G49" i="2"/>
  <c r="D546" i="3" s="1"/>
  <c r="C547" i="3" s="1"/>
  <c r="F49" i="2"/>
  <c r="E49" i="2"/>
  <c r="D49" i="2"/>
  <c r="C545" i="3" s="1"/>
  <c r="I48" i="2"/>
  <c r="H48" i="2"/>
  <c r="G48" i="2"/>
  <c r="F48" i="2"/>
  <c r="E48" i="2"/>
  <c r="D48" i="2"/>
  <c r="I47" i="2"/>
  <c r="H47" i="2"/>
  <c r="G47" i="2"/>
  <c r="F47" i="2"/>
  <c r="E521" i="3" s="1"/>
  <c r="B524" i="3" s="1"/>
  <c r="E47" i="2"/>
  <c r="D47" i="2"/>
  <c r="I46" i="2"/>
  <c r="H46" i="2"/>
  <c r="G46" i="2"/>
  <c r="F46" i="2"/>
  <c r="E46" i="2"/>
  <c r="D509" i="3" s="1"/>
  <c r="B511" i="3" s="1"/>
  <c r="D46" i="2"/>
  <c r="C509" i="3" s="1"/>
  <c r="B510" i="3" s="1"/>
  <c r="I45" i="2"/>
  <c r="H45" i="2"/>
  <c r="E498" i="3" s="1"/>
  <c r="G45" i="2"/>
  <c r="D498" i="3" s="1"/>
  <c r="C499" i="3" s="1"/>
  <c r="F45" i="2"/>
  <c r="E497" i="3" s="1"/>
  <c r="B500" i="3" s="1"/>
  <c r="E45" i="2"/>
  <c r="D45" i="2"/>
  <c r="I44" i="2"/>
  <c r="H44" i="2"/>
  <c r="G44" i="2"/>
  <c r="D486" i="3" s="1"/>
  <c r="C487" i="3" s="1"/>
  <c r="F44" i="2"/>
  <c r="E485" i="3" s="1"/>
  <c r="E44" i="2"/>
  <c r="D485" i="3" s="1"/>
  <c r="D44" i="2"/>
  <c r="C485" i="3" s="1"/>
  <c r="B486" i="3" s="1"/>
  <c r="I43" i="2"/>
  <c r="H43" i="2"/>
  <c r="E474" i="3" s="1"/>
  <c r="C476" i="3" s="1"/>
  <c r="G43" i="2"/>
  <c r="D474" i="3" s="1"/>
  <c r="C475" i="3" s="1"/>
  <c r="F43" i="2"/>
  <c r="E473" i="3" s="1"/>
  <c r="E43" i="2"/>
  <c r="D43" i="2"/>
  <c r="I42" i="2"/>
  <c r="E463" i="3" s="1"/>
  <c r="D464" i="3" s="1"/>
  <c r="H42" i="2"/>
  <c r="G42" i="2"/>
  <c r="F42" i="2"/>
  <c r="E42" i="2"/>
  <c r="D461" i="3" s="1"/>
  <c r="D42" i="2"/>
  <c r="C461" i="3" s="1"/>
  <c r="I41" i="2"/>
  <c r="H41" i="2"/>
  <c r="G41" i="2"/>
  <c r="F41" i="2"/>
  <c r="E449" i="3" s="1"/>
  <c r="E41" i="2"/>
  <c r="D41" i="2"/>
  <c r="I40" i="2"/>
  <c r="H40" i="2"/>
  <c r="G40" i="2"/>
  <c r="D438" i="3" s="1"/>
  <c r="C439" i="3" s="1"/>
  <c r="F40" i="2"/>
  <c r="E437" i="3" s="1"/>
  <c r="E40" i="2"/>
  <c r="D437" i="3" s="1"/>
  <c r="B439" i="3" s="1"/>
  <c r="D40" i="2"/>
  <c r="C437" i="3" s="1"/>
  <c r="B438" i="3" s="1"/>
  <c r="I39" i="2"/>
  <c r="H39" i="2"/>
  <c r="G39" i="2"/>
  <c r="F39" i="2"/>
  <c r="E425" i="3" s="1"/>
  <c r="B428" i="3" s="1"/>
  <c r="E39" i="2"/>
  <c r="D39" i="2"/>
  <c r="I38" i="2"/>
  <c r="E415" i="3" s="1"/>
  <c r="D416" i="3" s="1"/>
  <c r="H38" i="2"/>
  <c r="E414" i="3" s="1"/>
  <c r="G38" i="2"/>
  <c r="D414" i="3" s="1"/>
  <c r="F38" i="2"/>
  <c r="E413" i="3" s="1"/>
  <c r="B416" i="3" s="1"/>
  <c r="E38" i="2"/>
  <c r="D413" i="3" s="1"/>
  <c r="B415" i="3" s="1"/>
  <c r="D38" i="2"/>
  <c r="C413" i="3" s="1"/>
  <c r="B414" i="3" s="1"/>
  <c r="I37" i="2"/>
  <c r="H37" i="2"/>
  <c r="E402" i="3" s="1"/>
  <c r="C404" i="3" s="1"/>
  <c r="G37" i="2"/>
  <c r="D402" i="3" s="1"/>
  <c r="C403" i="3" s="1"/>
  <c r="F37" i="2"/>
  <c r="E401" i="3" s="1"/>
  <c r="B404" i="3" s="1"/>
  <c r="E37" i="2"/>
  <c r="D37" i="2"/>
  <c r="C401" i="3" s="1"/>
  <c r="B402" i="3" s="1"/>
  <c r="I36" i="2"/>
  <c r="H36" i="2"/>
  <c r="G36" i="2"/>
  <c r="F36" i="2"/>
  <c r="E389" i="3" s="1"/>
  <c r="E36" i="2"/>
  <c r="D389" i="3" s="1"/>
  <c r="B391" i="3" s="1"/>
  <c r="D36" i="2"/>
  <c r="C389" i="3" s="1"/>
  <c r="B390" i="3" s="1"/>
  <c r="I35" i="2"/>
  <c r="H35" i="2"/>
  <c r="G35" i="2"/>
  <c r="F35" i="2"/>
  <c r="E377" i="3" s="1"/>
  <c r="B380" i="3" s="1"/>
  <c r="E35" i="2"/>
  <c r="D35" i="2"/>
  <c r="I34" i="2"/>
  <c r="H34" i="2"/>
  <c r="G34" i="2"/>
  <c r="F34" i="2"/>
  <c r="E365" i="3" s="1"/>
  <c r="E34" i="2"/>
  <c r="D365" i="3" s="1"/>
  <c r="B367" i="3" s="1"/>
  <c r="D34" i="2"/>
  <c r="C365" i="3" s="1"/>
  <c r="B366" i="3" s="1"/>
  <c r="I33" i="2"/>
  <c r="H33" i="2"/>
  <c r="E354" i="3" s="1"/>
  <c r="C356" i="3" s="1"/>
  <c r="G33" i="2"/>
  <c r="D354" i="3" s="1"/>
  <c r="C355" i="3" s="1"/>
  <c r="F33" i="2"/>
  <c r="E353" i="3" s="1"/>
  <c r="B356" i="3" s="1"/>
  <c r="E33" i="2"/>
  <c r="D33" i="2"/>
  <c r="I32" i="2"/>
  <c r="H32" i="2"/>
  <c r="G32" i="2"/>
  <c r="D342" i="3" s="1"/>
  <c r="C343" i="3" s="1"/>
  <c r="F32" i="2"/>
  <c r="E341" i="3" s="1"/>
  <c r="E32" i="2"/>
  <c r="D341" i="3" s="1"/>
  <c r="B343" i="3" s="1"/>
  <c r="D32" i="2"/>
  <c r="C341" i="3" s="1"/>
  <c r="B342" i="3" s="1"/>
  <c r="I31" i="2"/>
  <c r="H31" i="2"/>
  <c r="E330" i="3" s="1"/>
  <c r="G31" i="2"/>
  <c r="D330" i="3" s="1"/>
  <c r="C331" i="3" s="1"/>
  <c r="F31" i="2"/>
  <c r="E329" i="3" s="1"/>
  <c r="B332" i="3" s="1"/>
  <c r="E31" i="2"/>
  <c r="D31" i="2"/>
  <c r="I30" i="2"/>
  <c r="E319" i="3" s="1"/>
  <c r="D320" i="3" s="1"/>
  <c r="H30" i="2"/>
  <c r="G30" i="2"/>
  <c r="F30" i="2"/>
  <c r="E317" i="3" s="1"/>
  <c r="B320" i="3" s="1"/>
  <c r="E30" i="2"/>
  <c r="D317" i="3" s="1"/>
  <c r="B319" i="3" s="1"/>
  <c r="D30" i="2"/>
  <c r="C317" i="3" s="1"/>
  <c r="I29" i="2"/>
  <c r="H29" i="2"/>
  <c r="G29" i="2"/>
  <c r="D306" i="3" s="1"/>
  <c r="C307" i="3" s="1"/>
  <c r="F29" i="2"/>
  <c r="E305" i="3" s="1"/>
  <c r="E29" i="2"/>
  <c r="D29" i="2"/>
  <c r="I28" i="2"/>
  <c r="H28" i="2"/>
  <c r="G28" i="2"/>
  <c r="D294" i="3" s="1"/>
  <c r="C295" i="3" s="1"/>
  <c r="F28" i="2"/>
  <c r="E293" i="3" s="1"/>
  <c r="E28" i="2"/>
  <c r="D293" i="3" s="1"/>
  <c r="D28" i="2"/>
  <c r="C293" i="3" s="1"/>
  <c r="B294" i="3" s="1"/>
  <c r="I27" i="2"/>
  <c r="H27" i="2"/>
  <c r="G27" i="2"/>
  <c r="F27" i="2"/>
  <c r="E281" i="3" s="1"/>
  <c r="B284" i="3" s="1"/>
  <c r="E27" i="2"/>
  <c r="D27" i="2"/>
  <c r="I26" i="2"/>
  <c r="E271" i="3" s="1"/>
  <c r="D272" i="3" s="1"/>
  <c r="H26" i="2"/>
  <c r="E270" i="3" s="1"/>
  <c r="C272" i="3" s="1"/>
  <c r="G26" i="2"/>
  <c r="D270" i="3" s="1"/>
  <c r="C271" i="3" s="1"/>
  <c r="F26" i="2"/>
  <c r="E269" i="3" s="1"/>
  <c r="E26" i="2"/>
  <c r="D269" i="3" s="1"/>
  <c r="D26" i="2"/>
  <c r="C269" i="3" s="1"/>
  <c r="B270" i="3" s="1"/>
  <c r="I25" i="2"/>
  <c r="H25" i="2"/>
  <c r="E258" i="3" s="1"/>
  <c r="C260" i="3" s="1"/>
  <c r="G25" i="2"/>
  <c r="D258" i="3" s="1"/>
  <c r="C259" i="3" s="1"/>
  <c r="F25" i="2"/>
  <c r="E25" i="2"/>
  <c r="D25" i="2"/>
  <c r="I24" i="2"/>
  <c r="H24" i="2"/>
  <c r="G24" i="2"/>
  <c r="F24" i="2"/>
  <c r="E245" i="3" s="1"/>
  <c r="B248" i="3" s="1"/>
  <c r="E24" i="2"/>
  <c r="D245" i="3" s="1"/>
  <c r="D24" i="2"/>
  <c r="C245" i="3" s="1"/>
  <c r="B246" i="3" s="1"/>
  <c r="I23" i="2"/>
  <c r="H23" i="2"/>
  <c r="G23" i="2"/>
  <c r="D234" i="3" s="1"/>
  <c r="C235" i="3" s="1"/>
  <c r="F23" i="2"/>
  <c r="E233" i="3" s="1"/>
  <c r="E23" i="2"/>
  <c r="D23" i="2"/>
  <c r="I22" i="2"/>
  <c r="H22" i="2"/>
  <c r="G22" i="2"/>
  <c r="F22" i="2"/>
  <c r="E221" i="3" s="1"/>
  <c r="B224" i="3" s="1"/>
  <c r="E22" i="2"/>
  <c r="D221" i="3" s="1"/>
  <c r="D22" i="2"/>
  <c r="C221" i="3" s="1"/>
  <c r="B222" i="3" s="1"/>
  <c r="I21" i="2"/>
  <c r="E211" i="3" s="1"/>
  <c r="D212" i="3" s="1"/>
  <c r="H21" i="2"/>
  <c r="E210" i="3" s="1"/>
  <c r="C212" i="3" s="1"/>
  <c r="G21" i="2"/>
  <c r="D210" i="3" s="1"/>
  <c r="F21" i="2"/>
  <c r="E209" i="3" s="1"/>
  <c r="E21" i="2"/>
  <c r="D21" i="2"/>
  <c r="I20" i="2"/>
  <c r="H20" i="2"/>
  <c r="E198" i="3" s="1"/>
  <c r="C200" i="3" s="1"/>
  <c r="G20" i="2"/>
  <c r="D198" i="3" s="1"/>
  <c r="C199" i="3" s="1"/>
  <c r="F20" i="2"/>
  <c r="E20" i="2"/>
  <c r="D197" i="3" s="1"/>
  <c r="D20" i="2"/>
  <c r="C197" i="3" s="1"/>
  <c r="I19" i="2"/>
  <c r="H19" i="2"/>
  <c r="G19" i="2"/>
  <c r="D186" i="3" s="1"/>
  <c r="C187" i="3" s="1"/>
  <c r="F19" i="2"/>
  <c r="E185" i="3" s="1"/>
  <c r="B188" i="3" s="1"/>
  <c r="E19" i="2"/>
  <c r="D19" i="2"/>
  <c r="I18" i="2"/>
  <c r="H18" i="2"/>
  <c r="G18" i="2"/>
  <c r="F18" i="2"/>
  <c r="E173" i="3" s="1"/>
  <c r="B176" i="3" s="1"/>
  <c r="E18" i="2"/>
  <c r="D173" i="3" s="1"/>
  <c r="D18" i="2"/>
  <c r="C173" i="3" s="1"/>
  <c r="B174" i="3" s="1"/>
  <c r="I17" i="2"/>
  <c r="H17" i="2"/>
  <c r="G17" i="2"/>
  <c r="F17" i="2"/>
  <c r="E161" i="3" s="1"/>
  <c r="E17" i="2"/>
  <c r="D17" i="2"/>
  <c r="I16" i="2"/>
  <c r="H16" i="2"/>
  <c r="E150" i="3" s="1"/>
  <c r="C152" i="3" s="1"/>
  <c r="G16" i="2"/>
  <c r="D150" i="3" s="1"/>
  <c r="C151" i="3" s="1"/>
  <c r="F16" i="2"/>
  <c r="E149" i="3" s="1"/>
  <c r="B152" i="3" s="1"/>
  <c r="E16" i="2"/>
  <c r="D149" i="3" s="1"/>
  <c r="D16" i="2"/>
  <c r="C149" i="3" s="1"/>
  <c r="I15" i="2"/>
  <c r="H15" i="2"/>
  <c r="G15" i="2"/>
  <c r="D138" i="3" s="1"/>
  <c r="C139" i="3" s="1"/>
  <c r="F15" i="2"/>
  <c r="E137" i="3" s="1"/>
  <c r="B140" i="3" s="1"/>
  <c r="E15" i="2"/>
  <c r="D15" i="2"/>
  <c r="I14" i="2"/>
  <c r="E127" i="3" s="1"/>
  <c r="D128" i="3" s="1"/>
  <c r="H14" i="2"/>
  <c r="E126" i="3" s="1"/>
  <c r="C128" i="3" s="1"/>
  <c r="G14" i="2"/>
  <c r="D126" i="3" s="1"/>
  <c r="C127" i="3" s="1"/>
  <c r="F14" i="2"/>
  <c r="E125" i="3" s="1"/>
  <c r="E14" i="2"/>
  <c r="D125" i="3" s="1"/>
  <c r="B127" i="3" s="1"/>
  <c r="D14" i="2"/>
  <c r="C125" i="3" s="1"/>
  <c r="B126" i="3" s="1"/>
  <c r="I13" i="2"/>
  <c r="H13" i="2"/>
  <c r="G13" i="2"/>
  <c r="F13" i="2"/>
  <c r="E13" i="2"/>
  <c r="D13" i="2"/>
  <c r="I12" i="2"/>
  <c r="H12" i="2"/>
  <c r="G12" i="2"/>
  <c r="F12" i="2"/>
  <c r="E101" i="3" s="1"/>
  <c r="E12" i="2"/>
  <c r="D101" i="3" s="1"/>
  <c r="D12" i="2"/>
  <c r="C101" i="3" s="1"/>
  <c r="I11" i="2"/>
  <c r="H11" i="2"/>
  <c r="G11" i="2"/>
  <c r="D90" i="3" s="1"/>
  <c r="C91" i="3" s="1"/>
  <c r="F11" i="2"/>
  <c r="E89" i="3" s="1"/>
  <c r="B92" i="3" s="1"/>
  <c r="E11" i="2"/>
  <c r="D11" i="2"/>
  <c r="I10" i="2"/>
  <c r="H10" i="2"/>
  <c r="G10" i="2"/>
  <c r="F10" i="2"/>
  <c r="E77" i="3" s="1"/>
  <c r="B80" i="3" s="1"/>
  <c r="E10" i="2"/>
  <c r="D77" i="3" s="1"/>
  <c r="B79" i="3" s="1"/>
  <c r="D10" i="2"/>
  <c r="C77" i="3" s="1"/>
  <c r="B78" i="3" s="1"/>
  <c r="I9" i="2"/>
  <c r="E67" i="3" s="1"/>
  <c r="D68" i="3" s="1"/>
  <c r="H9" i="2"/>
  <c r="E66" i="3" s="1"/>
  <c r="C68" i="3" s="1"/>
  <c r="G9" i="2"/>
  <c r="D66" i="3" s="1"/>
  <c r="C67" i="3" s="1"/>
  <c r="F9" i="2"/>
  <c r="E65" i="3" s="1"/>
  <c r="B68" i="3" s="1"/>
  <c r="E9" i="2"/>
  <c r="D9" i="2"/>
  <c r="I8" i="2"/>
  <c r="H8" i="2"/>
  <c r="E54" i="3" s="1"/>
  <c r="C56" i="3" s="1"/>
  <c r="G8" i="2"/>
  <c r="D54" i="3" s="1"/>
  <c r="C55" i="3" s="1"/>
  <c r="F8" i="2"/>
  <c r="E8" i="2"/>
  <c r="D53" i="3" s="1"/>
  <c r="B55" i="3" s="1"/>
  <c r="D8" i="2"/>
  <c r="C53" i="3" s="1"/>
  <c r="B54" i="3" s="1"/>
  <c r="I7" i="2"/>
  <c r="H7" i="2"/>
  <c r="G7" i="2"/>
  <c r="D42" i="3" s="1"/>
  <c r="C43" i="3" s="1"/>
  <c r="F7" i="2"/>
  <c r="E41" i="3" s="1"/>
  <c r="B44" i="3" s="1"/>
  <c r="E7" i="2"/>
  <c r="D7" i="2"/>
  <c r="I6" i="2"/>
  <c r="H6" i="2"/>
  <c r="G6" i="2"/>
  <c r="F6" i="2"/>
  <c r="E29" i="3" s="1"/>
  <c r="E6" i="2"/>
  <c r="D29" i="3" s="1"/>
  <c r="D6" i="2"/>
  <c r="C29" i="3" s="1"/>
  <c r="B30" i="3" s="1"/>
  <c r="I5" i="2"/>
  <c r="H5" i="2"/>
  <c r="G5" i="2"/>
  <c r="F5" i="2"/>
  <c r="E17" i="3" s="1"/>
  <c r="B20" i="3" s="1"/>
  <c r="E5" i="2"/>
  <c r="D5" i="2"/>
  <c r="I4" i="2"/>
  <c r="H4" i="2"/>
  <c r="E6" i="3" s="1"/>
  <c r="C8" i="3" s="1"/>
  <c r="G4" i="2"/>
  <c r="D6" i="3" s="1"/>
  <c r="F4" i="2"/>
  <c r="E5" i="3" s="1"/>
  <c r="E4" i="2"/>
  <c r="D5" i="3" s="1"/>
  <c r="B7" i="3" s="1"/>
  <c r="D4" i="2"/>
  <c r="C5" i="3"/>
  <c r="B6" i="3" s="1"/>
  <c r="B59" i="4"/>
  <c r="B63" i="4"/>
  <c r="B651" i="3"/>
  <c r="B58" i="4" s="1"/>
  <c r="E653" i="3"/>
  <c r="D654" i="3"/>
  <c r="C655" i="3" s="1"/>
  <c r="E654" i="3"/>
  <c r="C656" i="3" s="1"/>
  <c r="E655" i="3"/>
  <c r="D656" i="3" s="1"/>
  <c r="G661" i="3"/>
  <c r="H58" i="4" s="1"/>
  <c r="B663" i="3"/>
  <c r="E665" i="3"/>
  <c r="D666" i="3"/>
  <c r="C667" i="3" s="1"/>
  <c r="E666" i="3"/>
  <c r="C668" i="3" s="1"/>
  <c r="E667" i="3"/>
  <c r="D668" i="3" s="1"/>
  <c r="G673" i="3"/>
  <c r="H59" i="4" s="1"/>
  <c r="B675" i="3"/>
  <c r="B60" i="4" s="1"/>
  <c r="D677" i="3"/>
  <c r="B679" i="3" s="1"/>
  <c r="E677" i="3"/>
  <c r="B680" i="3" s="1"/>
  <c r="D678" i="3"/>
  <c r="E678" i="3"/>
  <c r="C680" i="3" s="1"/>
  <c r="C679" i="3"/>
  <c r="E679" i="3"/>
  <c r="D680" i="3" s="1"/>
  <c r="G685" i="3"/>
  <c r="H60" i="4" s="1"/>
  <c r="B687" i="3"/>
  <c r="B61" i="4" s="1"/>
  <c r="D689" i="3"/>
  <c r="B691" i="3" s="1"/>
  <c r="E689" i="3"/>
  <c r="D690" i="3"/>
  <c r="C691" i="3" s="1"/>
  <c r="E690" i="3"/>
  <c r="C692" i="3" s="1"/>
  <c r="E691" i="3"/>
  <c r="D692" i="3" s="1"/>
  <c r="B692" i="3"/>
  <c r="G697" i="3"/>
  <c r="H61" i="4" s="1"/>
  <c r="B699" i="3"/>
  <c r="B62" i="4" s="1"/>
  <c r="D701" i="3"/>
  <c r="B703" i="3" s="1"/>
  <c r="E701" i="3"/>
  <c r="B704" i="3" s="1"/>
  <c r="D702" i="3"/>
  <c r="C703" i="3" s="1"/>
  <c r="E702" i="3"/>
  <c r="C704" i="3" s="1"/>
  <c r="E703" i="3"/>
  <c r="D704" i="3" s="1"/>
  <c r="G709" i="3"/>
  <c r="H62" i="4" s="1"/>
  <c r="B711" i="3"/>
  <c r="C713" i="3"/>
  <c r="B714" i="3" s="1"/>
  <c r="D713" i="3"/>
  <c r="E713" i="3"/>
  <c r="B716" i="3" s="1"/>
  <c r="D714" i="3"/>
  <c r="C715" i="3" s="1"/>
  <c r="E714" i="3"/>
  <c r="C716" i="3" s="1"/>
  <c r="E715" i="3"/>
  <c r="D716" i="3"/>
  <c r="G721" i="3"/>
  <c r="H63" i="4" s="1"/>
  <c r="J14" i="5"/>
  <c r="G14" i="5"/>
  <c r="G13" i="5"/>
  <c r="J13" i="5" s="1"/>
  <c r="G12" i="5"/>
  <c r="J12" i="5" s="1"/>
  <c r="G11" i="5"/>
  <c r="J11" i="5" s="1"/>
  <c r="J10" i="5"/>
  <c r="G10" i="5"/>
  <c r="G9" i="5"/>
  <c r="J9" i="5" s="1"/>
  <c r="G8" i="5"/>
  <c r="J8" i="5" s="1"/>
  <c r="G7" i="5"/>
  <c r="J7" i="5" s="1"/>
  <c r="J6" i="5"/>
  <c r="G6" i="5"/>
  <c r="G5" i="5"/>
  <c r="J5" i="5" s="1"/>
  <c r="E643" i="3"/>
  <c r="D644" i="3" s="1"/>
  <c r="D641" i="3"/>
  <c r="C641" i="3"/>
  <c r="B642" i="3" s="1"/>
  <c r="B639" i="3"/>
  <c r="B57" i="4" s="1"/>
  <c r="E631" i="3"/>
  <c r="D632" i="3" s="1"/>
  <c r="E630" i="3"/>
  <c r="C632" i="3" s="1"/>
  <c r="B627" i="3"/>
  <c r="B56" i="4" s="1"/>
  <c r="E619" i="3"/>
  <c r="D620" i="3" s="1"/>
  <c r="D617" i="3"/>
  <c r="C617" i="3"/>
  <c r="B618" i="3" s="1"/>
  <c r="B615" i="3"/>
  <c r="B55" i="4" s="1"/>
  <c r="E606" i="3"/>
  <c r="C608" i="3" s="1"/>
  <c r="D606" i="3"/>
  <c r="C607" i="3" s="1"/>
  <c r="B603" i="3"/>
  <c r="B54" i="4" s="1"/>
  <c r="E595" i="3"/>
  <c r="D596" i="3" s="1"/>
  <c r="E594" i="3"/>
  <c r="C596" i="3" s="1"/>
  <c r="D594" i="3"/>
  <c r="C595" i="3" s="1"/>
  <c r="E593" i="3"/>
  <c r="D593" i="3"/>
  <c r="B595" i="3" s="1"/>
  <c r="C593" i="3"/>
  <c r="B591" i="3"/>
  <c r="B53" i="4" s="1"/>
  <c r="E583" i="3"/>
  <c r="D584" i="3" s="1"/>
  <c r="E582" i="3"/>
  <c r="C584" i="3" s="1"/>
  <c r="B579" i="3"/>
  <c r="B52" i="4" s="1"/>
  <c r="E571" i="3"/>
  <c r="D572" i="3" s="1"/>
  <c r="E570" i="3"/>
  <c r="C572" i="3" s="1"/>
  <c r="D570" i="3"/>
  <c r="C571" i="3" s="1"/>
  <c r="D569" i="3"/>
  <c r="C569" i="3"/>
  <c r="B570" i="3" s="1"/>
  <c r="B567" i="3"/>
  <c r="B51" i="4" s="1"/>
  <c r="B555" i="3"/>
  <c r="B50" i="4" s="1"/>
  <c r="E547" i="3"/>
  <c r="D548" i="3" s="1"/>
  <c r="E545" i="3"/>
  <c r="D545" i="3"/>
  <c r="B543" i="3"/>
  <c r="B49" i="4" s="1"/>
  <c r="E535" i="3"/>
  <c r="D536" i="3" s="1"/>
  <c r="E534" i="3"/>
  <c r="C536" i="3" s="1"/>
  <c r="D534" i="3"/>
  <c r="C535" i="3" s="1"/>
  <c r="E533" i="3"/>
  <c r="D533" i="3"/>
  <c r="C533" i="3"/>
  <c r="B534" i="3" s="1"/>
  <c r="B531" i="3"/>
  <c r="B48" i="4" s="1"/>
  <c r="E523" i="3"/>
  <c r="D524" i="3" s="1"/>
  <c r="E522" i="3"/>
  <c r="D522" i="3"/>
  <c r="C523" i="3" s="1"/>
  <c r="D521" i="3"/>
  <c r="C521" i="3"/>
  <c r="B522" i="3" s="1"/>
  <c r="B519" i="3"/>
  <c r="B47" i="4" s="1"/>
  <c r="E511" i="3"/>
  <c r="D512" i="3" s="1"/>
  <c r="E510" i="3"/>
  <c r="D510" i="3"/>
  <c r="C511" i="3" s="1"/>
  <c r="E509" i="3"/>
  <c r="B512" i="3" s="1"/>
  <c r="B507" i="3"/>
  <c r="B46" i="4" s="1"/>
  <c r="E499" i="3"/>
  <c r="D500" i="3" s="1"/>
  <c r="D497" i="3"/>
  <c r="B499" i="3" s="1"/>
  <c r="C497" i="3"/>
  <c r="B498" i="3" s="1"/>
  <c r="B495" i="3"/>
  <c r="B45" i="4" s="1"/>
  <c r="E487" i="3"/>
  <c r="D488" i="3" s="1"/>
  <c r="E486" i="3"/>
  <c r="C488" i="3" s="1"/>
  <c r="B483" i="3"/>
  <c r="B44" i="4" s="1"/>
  <c r="E475" i="3"/>
  <c r="D476" i="3" s="1"/>
  <c r="D473" i="3"/>
  <c r="C473" i="3"/>
  <c r="B471" i="3"/>
  <c r="B43" i="4" s="1"/>
  <c r="E462" i="3"/>
  <c r="C464" i="3" s="1"/>
  <c r="D462" i="3"/>
  <c r="C463" i="3" s="1"/>
  <c r="E461" i="3"/>
  <c r="B464" i="3" s="1"/>
  <c r="B459" i="3"/>
  <c r="B42" i="4" s="1"/>
  <c r="E451" i="3"/>
  <c r="D452" i="3" s="1"/>
  <c r="E450" i="3"/>
  <c r="C452" i="3" s="1"/>
  <c r="D450" i="3"/>
  <c r="D449" i="3"/>
  <c r="B451" i="3" s="1"/>
  <c r="C449" i="3"/>
  <c r="B450" i="3" s="1"/>
  <c r="B447" i="3"/>
  <c r="B41" i="4" s="1"/>
  <c r="E439" i="3"/>
  <c r="D440" i="3" s="1"/>
  <c r="E438" i="3"/>
  <c r="C440" i="3" s="1"/>
  <c r="B435" i="3"/>
  <c r="B40" i="4" s="1"/>
  <c r="E427" i="3"/>
  <c r="D428" i="3" s="1"/>
  <c r="E426" i="3"/>
  <c r="D426" i="3"/>
  <c r="C427" i="3" s="1"/>
  <c r="D425" i="3"/>
  <c r="B427" i="3" s="1"/>
  <c r="C425" i="3"/>
  <c r="B426" i="3" s="1"/>
  <c r="B423" i="3"/>
  <c r="B39" i="4" s="1"/>
  <c r="B411" i="3"/>
  <c r="B38" i="4" s="1"/>
  <c r="E403" i="3"/>
  <c r="D404" i="3" s="1"/>
  <c r="D401" i="3"/>
  <c r="B399" i="3"/>
  <c r="B37" i="4" s="1"/>
  <c r="E391" i="3"/>
  <c r="D392" i="3" s="1"/>
  <c r="E390" i="3"/>
  <c r="C392" i="3" s="1"/>
  <c r="D390" i="3"/>
  <c r="B387" i="3"/>
  <c r="B36" i="4" s="1"/>
  <c r="E379" i="3"/>
  <c r="D380" i="3" s="1"/>
  <c r="E378" i="3"/>
  <c r="D378" i="3"/>
  <c r="C379" i="3" s="1"/>
  <c r="D377" i="3"/>
  <c r="B379" i="3" s="1"/>
  <c r="C377" i="3"/>
  <c r="B375" i="3"/>
  <c r="B35" i="4" s="1"/>
  <c r="E367" i="3"/>
  <c r="D368" i="3" s="1"/>
  <c r="E366" i="3"/>
  <c r="C368" i="3" s="1"/>
  <c r="D366" i="3"/>
  <c r="B363" i="3"/>
  <c r="B34" i="4" s="1"/>
  <c r="E355" i="3"/>
  <c r="D353" i="3"/>
  <c r="B355" i="3" s="1"/>
  <c r="C353" i="3"/>
  <c r="B354" i="3" s="1"/>
  <c r="B351" i="3"/>
  <c r="B33" i="4" s="1"/>
  <c r="E343" i="3"/>
  <c r="D344" i="3" s="1"/>
  <c r="E342" i="3"/>
  <c r="C344" i="3" s="1"/>
  <c r="B339" i="3"/>
  <c r="B32" i="4" s="1"/>
  <c r="E331" i="3"/>
  <c r="D332" i="3" s="1"/>
  <c r="D329" i="3"/>
  <c r="B331" i="3" s="1"/>
  <c r="C329" i="3"/>
  <c r="B330" i="3" s="1"/>
  <c r="B327" i="3"/>
  <c r="B31" i="4" s="1"/>
  <c r="E318" i="3"/>
  <c r="C320" i="3" s="1"/>
  <c r="D318" i="3"/>
  <c r="C319" i="3" s="1"/>
  <c r="B315" i="3"/>
  <c r="B30" i="4" s="1"/>
  <c r="E307" i="3"/>
  <c r="D308" i="3" s="1"/>
  <c r="E306" i="3"/>
  <c r="C308" i="3" s="1"/>
  <c r="D305" i="3"/>
  <c r="B307" i="3" s="1"/>
  <c r="C305" i="3"/>
  <c r="B303" i="3"/>
  <c r="B29" i="4" s="1"/>
  <c r="E295" i="3"/>
  <c r="D296" i="3" s="1"/>
  <c r="E294" i="3"/>
  <c r="C296" i="3" s="1"/>
  <c r="B291" i="3"/>
  <c r="B28" i="4" s="1"/>
  <c r="E283" i="3"/>
  <c r="D284" i="3" s="1"/>
  <c r="E282" i="3"/>
  <c r="D282" i="3"/>
  <c r="C283" i="3" s="1"/>
  <c r="D281" i="3"/>
  <c r="C281" i="3"/>
  <c r="B282" i="3" s="1"/>
  <c r="B279" i="3"/>
  <c r="B27" i="4" s="1"/>
  <c r="B267" i="3"/>
  <c r="B26" i="4" s="1"/>
  <c r="E259" i="3"/>
  <c r="D260" i="3" s="1"/>
  <c r="B258" i="3"/>
  <c r="E257" i="3"/>
  <c r="D257" i="3"/>
  <c r="B259" i="3" s="1"/>
  <c r="C257" i="3"/>
  <c r="B255" i="3"/>
  <c r="B25" i="4" s="1"/>
  <c r="E247" i="3"/>
  <c r="D248" i="3" s="1"/>
  <c r="E246" i="3"/>
  <c r="C248" i="3" s="1"/>
  <c r="D246" i="3"/>
  <c r="C247" i="3" s="1"/>
  <c r="B243" i="3"/>
  <c r="B24" i="4" s="1"/>
  <c r="E235" i="3"/>
  <c r="D236" i="3" s="1"/>
  <c r="E234" i="3"/>
  <c r="C236" i="3" s="1"/>
  <c r="D233" i="3"/>
  <c r="B235" i="3" s="1"/>
  <c r="C233" i="3"/>
  <c r="B231" i="3"/>
  <c r="B23" i="4" s="1"/>
  <c r="E223" i="3"/>
  <c r="D224" i="3" s="1"/>
  <c r="E222" i="3"/>
  <c r="D222" i="3"/>
  <c r="C223" i="3" s="1"/>
  <c r="B219" i="3"/>
  <c r="B22" i="4" s="1"/>
  <c r="D209" i="3"/>
  <c r="B211" i="3" s="1"/>
  <c r="C209" i="3"/>
  <c r="B210" i="3" s="1"/>
  <c r="B207" i="3"/>
  <c r="B21" i="4" s="1"/>
  <c r="E199" i="3"/>
  <c r="D200" i="3" s="1"/>
  <c r="E197" i="3"/>
  <c r="B200" i="3" s="1"/>
  <c r="B195" i="3"/>
  <c r="B20" i="4" s="1"/>
  <c r="E187" i="3"/>
  <c r="D188" i="3" s="1"/>
  <c r="E186" i="3"/>
  <c r="C188" i="3" s="1"/>
  <c r="D185" i="3"/>
  <c r="B187" i="3" s="1"/>
  <c r="C185" i="3"/>
  <c r="B183" i="3"/>
  <c r="B19" i="4" s="1"/>
  <c r="E175" i="3"/>
  <c r="D176" i="3" s="1"/>
  <c r="E174" i="3"/>
  <c r="D174" i="3"/>
  <c r="C175" i="3" s="1"/>
  <c r="B171" i="3"/>
  <c r="B18" i="4" s="1"/>
  <c r="E163" i="3"/>
  <c r="D164" i="3" s="1"/>
  <c r="E162" i="3"/>
  <c r="C164" i="3" s="1"/>
  <c r="D162" i="3"/>
  <c r="C163" i="3" s="1"/>
  <c r="D161" i="3"/>
  <c r="B163" i="3" s="1"/>
  <c r="C161" i="3"/>
  <c r="B159" i="3"/>
  <c r="B17" i="4" s="1"/>
  <c r="E151" i="3"/>
  <c r="D152" i="3" s="1"/>
  <c r="B147" i="3"/>
  <c r="B16" i="4" s="1"/>
  <c r="E139" i="3"/>
  <c r="D140" i="3" s="1"/>
  <c r="E138" i="3"/>
  <c r="C140" i="3" s="1"/>
  <c r="D137" i="3"/>
  <c r="B139" i="3" s="1"/>
  <c r="C137" i="3"/>
  <c r="B138" i="3" s="1"/>
  <c r="B135" i="3"/>
  <c r="B15" i="4" s="1"/>
  <c r="B123" i="3"/>
  <c r="B14" i="4" s="1"/>
  <c r="E115" i="3"/>
  <c r="D116" i="3" s="1"/>
  <c r="E114" i="3"/>
  <c r="C116" i="3" s="1"/>
  <c r="D114" i="3"/>
  <c r="C115" i="3" s="1"/>
  <c r="E113" i="3"/>
  <c r="B116" i="3" s="1"/>
  <c r="D113" i="3"/>
  <c r="C113" i="3"/>
  <c r="B114" i="3" s="1"/>
  <c r="B111" i="3"/>
  <c r="B13" i="4" s="1"/>
  <c r="E103" i="3"/>
  <c r="D104" i="3" s="1"/>
  <c r="E102" i="3"/>
  <c r="C104" i="3" s="1"/>
  <c r="D102" i="3"/>
  <c r="C103" i="3" s="1"/>
  <c r="B99" i="3"/>
  <c r="B12" i="4" s="1"/>
  <c r="E91" i="3"/>
  <c r="D92" i="3" s="1"/>
  <c r="E90" i="3"/>
  <c r="C92" i="3" s="1"/>
  <c r="D89" i="3"/>
  <c r="B91" i="3" s="1"/>
  <c r="C89" i="3"/>
  <c r="B90" i="3" s="1"/>
  <c r="B87" i="3"/>
  <c r="B11" i="4" s="1"/>
  <c r="E79" i="3"/>
  <c r="D80" i="3" s="1"/>
  <c r="E78" i="3"/>
  <c r="C80" i="3" s="1"/>
  <c r="D78" i="3"/>
  <c r="C79" i="3" s="1"/>
  <c r="B75" i="3"/>
  <c r="B10" i="4" s="1"/>
  <c r="D65" i="3"/>
  <c r="C65" i="3"/>
  <c r="B63" i="3"/>
  <c r="B9" i="4" s="1"/>
  <c r="E55" i="3"/>
  <c r="D56" i="3" s="1"/>
  <c r="E53" i="3"/>
  <c r="B56" i="3" s="1"/>
  <c r="B51" i="3"/>
  <c r="B8" i="4" s="1"/>
  <c r="E43" i="3"/>
  <c r="D44" i="3" s="1"/>
  <c r="E42" i="3"/>
  <c r="C44" i="3" s="1"/>
  <c r="D41" i="3"/>
  <c r="B43" i="3" s="1"/>
  <c r="C41" i="3"/>
  <c r="B42" i="3" s="1"/>
  <c r="B39" i="3"/>
  <c r="B7" i="4" s="1"/>
  <c r="E31" i="3"/>
  <c r="D32" i="3" s="1"/>
  <c r="E30" i="3"/>
  <c r="C32" i="3" s="1"/>
  <c r="D30" i="3"/>
  <c r="C31" i="3" s="1"/>
  <c r="B27" i="3"/>
  <c r="B6" i="4" s="1"/>
  <c r="E19" i="3"/>
  <c r="D20" i="3" s="1"/>
  <c r="E18" i="3"/>
  <c r="C20" i="3" s="1"/>
  <c r="D18" i="3"/>
  <c r="C19" i="3" s="1"/>
  <c r="D17" i="3"/>
  <c r="B19" i="3" s="1"/>
  <c r="C17" i="3"/>
  <c r="B18" i="3" s="1"/>
  <c r="B15" i="3"/>
  <c r="B5" i="4" s="1"/>
  <c r="E7" i="3"/>
  <c r="D8" i="3" s="1"/>
  <c r="B3" i="3"/>
  <c r="B4" i="4" s="1"/>
  <c r="E657" i="3" l="1"/>
  <c r="E669" i="3"/>
  <c r="E693" i="3"/>
  <c r="D657" i="3"/>
  <c r="B668" i="3"/>
  <c r="B656" i="3"/>
  <c r="B657" i="3" s="1"/>
  <c r="C681" i="3"/>
  <c r="C693" i="3"/>
  <c r="B705" i="3"/>
  <c r="E717" i="3"/>
  <c r="C705" i="3"/>
  <c r="C717" i="3"/>
  <c r="E705" i="3"/>
  <c r="D705" i="3"/>
  <c r="D669" i="3"/>
  <c r="D693" i="3"/>
  <c r="E681" i="3"/>
  <c r="C657" i="3"/>
  <c r="D681" i="3"/>
  <c r="C669" i="3"/>
  <c r="D717" i="3"/>
  <c r="B715" i="3"/>
  <c r="B717" i="3"/>
  <c r="B681" i="3"/>
  <c r="B667" i="3"/>
  <c r="B693" i="3"/>
  <c r="C441" i="3"/>
  <c r="D513" i="3"/>
  <c r="D57" i="3"/>
  <c r="E9" i="3"/>
  <c r="C261" i="3"/>
  <c r="C357" i="3"/>
  <c r="E561" i="3"/>
  <c r="E501" i="3"/>
  <c r="E213" i="3"/>
  <c r="C21" i="3"/>
  <c r="E201" i="3"/>
  <c r="D417" i="3"/>
  <c r="D309" i="3"/>
  <c r="D141" i="3"/>
  <c r="B333" i="3"/>
  <c r="D549" i="3"/>
  <c r="D165" i="3"/>
  <c r="D369" i="3"/>
  <c r="D501" i="3"/>
  <c r="C537" i="3"/>
  <c r="D393" i="3"/>
  <c r="C391" i="3"/>
  <c r="C393" i="3" s="1"/>
  <c r="E477" i="3"/>
  <c r="B476" i="3"/>
  <c r="C512" i="3"/>
  <c r="C513" i="3" s="1"/>
  <c r="E513" i="3"/>
  <c r="B631" i="3"/>
  <c r="D633" i="3"/>
  <c r="B247" i="3"/>
  <c r="B249" i="3" s="1"/>
  <c r="D249" i="3"/>
  <c r="E381" i="3"/>
  <c r="C380" i="3"/>
  <c r="C381" i="3" s="1"/>
  <c r="D9" i="3"/>
  <c r="C332" i="3"/>
  <c r="C333" i="3" s="1"/>
  <c r="E333" i="3"/>
  <c r="D441" i="3"/>
  <c r="B463" i="3"/>
  <c r="D465" i="3"/>
  <c r="C284" i="3"/>
  <c r="C285" i="3" s="1"/>
  <c r="E285" i="3"/>
  <c r="E429" i="3"/>
  <c r="E621" i="3"/>
  <c r="B620" i="3"/>
  <c r="C201" i="3"/>
  <c r="B198" i="3"/>
  <c r="E273" i="3"/>
  <c r="B272" i="3"/>
  <c r="C585" i="3"/>
  <c r="C33" i="3"/>
  <c r="D45" i="3"/>
  <c r="C57" i="3"/>
  <c r="D117" i="3"/>
  <c r="B199" i="3"/>
  <c r="D201" i="3"/>
  <c r="C416" i="3"/>
  <c r="E417" i="3"/>
  <c r="C500" i="3"/>
  <c r="C501" i="3" s="1"/>
  <c r="D21" i="3"/>
  <c r="E237" i="3"/>
  <c r="B236" i="3"/>
  <c r="E453" i="3"/>
  <c r="B452" i="3"/>
  <c r="B453" i="3" s="1"/>
  <c r="C415" i="3"/>
  <c r="C489" i="3"/>
  <c r="D609" i="3"/>
  <c r="B607" i="3"/>
  <c r="D645" i="3"/>
  <c r="B643" i="3"/>
  <c r="D453" i="3"/>
  <c r="C451" i="3"/>
  <c r="C453" i="3" s="1"/>
  <c r="E525" i="3"/>
  <c r="C524" i="3"/>
  <c r="C525" i="3" s="1"/>
  <c r="B594" i="3"/>
  <c r="C597" i="3"/>
  <c r="C249" i="3"/>
  <c r="C309" i="3"/>
  <c r="C633" i="3"/>
  <c r="C45" i="3"/>
  <c r="E57" i="3"/>
  <c r="C573" i="3"/>
  <c r="C153" i="3"/>
  <c r="D189" i="3"/>
  <c r="D381" i="3"/>
  <c r="B306" i="3"/>
  <c r="E321" i="3"/>
  <c r="E537" i="3"/>
  <c r="D69" i="3"/>
  <c r="E141" i="3"/>
  <c r="B66" i="3"/>
  <c r="C69" i="3"/>
  <c r="D93" i="3"/>
  <c r="B164" i="3"/>
  <c r="E165" i="3"/>
  <c r="E177" i="3"/>
  <c r="C176" i="3"/>
  <c r="C177" i="3" s="1"/>
  <c r="C224" i="3"/>
  <c r="C225" i="3" s="1"/>
  <c r="E225" i="3"/>
  <c r="E249" i="3"/>
  <c r="D489" i="3"/>
  <c r="B487" i="3"/>
  <c r="E93" i="3"/>
  <c r="D273" i="3"/>
  <c r="B271" i="3"/>
  <c r="C321" i="3"/>
  <c r="E489" i="3"/>
  <c r="B488" i="3"/>
  <c r="C237" i="3"/>
  <c r="C367" i="3"/>
  <c r="C369" i="3" s="1"/>
  <c r="B583" i="3"/>
  <c r="B585" i="3" s="1"/>
  <c r="D585" i="3"/>
  <c r="C273" i="3"/>
  <c r="D33" i="3"/>
  <c r="B31" i="3"/>
  <c r="C105" i="3"/>
  <c r="C189" i="3"/>
  <c r="B474" i="3"/>
  <c r="C477" i="3"/>
  <c r="D621" i="3"/>
  <c r="B619" i="3"/>
  <c r="B32" i="3"/>
  <c r="E33" i="3"/>
  <c r="E69" i="3"/>
  <c r="B103" i="3"/>
  <c r="D105" i="3"/>
  <c r="E117" i="3"/>
  <c r="E153" i="3"/>
  <c r="B296" i="3"/>
  <c r="E297" i="3"/>
  <c r="C297" i="3"/>
  <c r="C405" i="3"/>
  <c r="E441" i="3"/>
  <c r="B440" i="3"/>
  <c r="B441" i="3" s="1"/>
  <c r="D477" i="3"/>
  <c r="B475" i="3"/>
  <c r="C7" i="3"/>
  <c r="C9" i="3" s="1"/>
  <c r="B21" i="3"/>
  <c r="B150" i="3"/>
  <c r="B260" i="3"/>
  <c r="E261" i="3"/>
  <c r="B344" i="3"/>
  <c r="E345" i="3"/>
  <c r="B378" i="3"/>
  <c r="D297" i="3"/>
  <c r="E45" i="3"/>
  <c r="B57" i="3"/>
  <c r="B186" i="3"/>
  <c r="D356" i="3"/>
  <c r="D357" i="3" s="1"/>
  <c r="E357" i="3"/>
  <c r="B368" i="3"/>
  <c r="B369" i="3" s="1"/>
  <c r="E369" i="3"/>
  <c r="C428" i="3"/>
  <c r="C429" i="3" s="1"/>
  <c r="D525" i="3"/>
  <c r="B523" i="3"/>
  <c r="B525" i="3" s="1"/>
  <c r="B67" i="3"/>
  <c r="B102" i="3"/>
  <c r="B115" i="3"/>
  <c r="D177" i="3"/>
  <c r="B175" i="3"/>
  <c r="B177" i="3" s="1"/>
  <c r="E189" i="3"/>
  <c r="D225" i="3"/>
  <c r="B223" i="3"/>
  <c r="B225" i="3" s="1"/>
  <c r="D321" i="3"/>
  <c r="B429" i="3"/>
  <c r="B536" i="3"/>
  <c r="B547" i="3"/>
  <c r="E633" i="3"/>
  <c r="B632" i="3"/>
  <c r="E81" i="3"/>
  <c r="B318" i="3"/>
  <c r="C81" i="3"/>
  <c r="C129" i="3"/>
  <c r="B141" i="3"/>
  <c r="B212" i="3"/>
  <c r="B213" i="3" s="1"/>
  <c r="D261" i="3"/>
  <c r="B417" i="3"/>
  <c r="E129" i="3"/>
  <c r="B128" i="3"/>
  <c r="B129" i="3" s="1"/>
  <c r="D213" i="3"/>
  <c r="C211" i="3"/>
  <c r="C213" i="3" s="1"/>
  <c r="B151" i="3"/>
  <c r="D153" i="3"/>
  <c r="B234" i="3"/>
  <c r="E405" i="3"/>
  <c r="B8" i="3"/>
  <c r="B9" i="3" s="1"/>
  <c r="E21" i="3"/>
  <c r="D81" i="3"/>
  <c r="B81" i="3"/>
  <c r="D129" i="3"/>
  <c r="B162" i="3"/>
  <c r="C165" i="3"/>
  <c r="B295" i="3"/>
  <c r="B308" i="3"/>
  <c r="E309" i="3"/>
  <c r="B357" i="3"/>
  <c r="C465" i="3"/>
  <c r="B462" i="3"/>
  <c r="E573" i="3"/>
  <c r="C141" i="3"/>
  <c r="B392" i="3"/>
  <c r="E393" i="3"/>
  <c r="B403" i="3"/>
  <c r="B405" i="3" s="1"/>
  <c r="D405" i="3"/>
  <c r="B45" i="3"/>
  <c r="C93" i="3"/>
  <c r="C117" i="3"/>
  <c r="B546" i="3"/>
  <c r="C549" i="3"/>
  <c r="B608" i="3"/>
  <c r="E609" i="3"/>
  <c r="B513" i="3"/>
  <c r="B93" i="3"/>
  <c r="E105" i="3"/>
  <c r="B104" i="3"/>
  <c r="D333" i="3"/>
  <c r="C345" i="3"/>
  <c r="E465" i="3"/>
  <c r="B548" i="3"/>
  <c r="E549" i="3"/>
  <c r="D597" i="3"/>
  <c r="D285" i="3"/>
  <c r="B283" i="3"/>
  <c r="B285" i="3" s="1"/>
  <c r="D345" i="3"/>
  <c r="B596" i="3"/>
  <c r="E597" i="3"/>
  <c r="D237" i="3"/>
  <c r="D429" i="3"/>
  <c r="B535" i="3"/>
  <c r="D537" i="3"/>
  <c r="C561" i="3"/>
  <c r="B558" i="3"/>
  <c r="C621" i="3"/>
  <c r="E585" i="3"/>
  <c r="B501" i="3"/>
  <c r="D573" i="3"/>
  <c r="B571" i="3"/>
  <c r="B573" i="3" s="1"/>
  <c r="C609" i="3"/>
  <c r="B606" i="3"/>
  <c r="C645" i="3"/>
  <c r="B644" i="3"/>
  <c r="E645" i="3"/>
  <c r="D561" i="3"/>
  <c r="G691" i="3" l="1"/>
  <c r="E61" i="4" s="1"/>
  <c r="G680" i="3"/>
  <c r="F60" i="4" s="1"/>
  <c r="B669" i="3"/>
  <c r="G666" i="3" s="1"/>
  <c r="D59" i="4" s="1"/>
  <c r="G702" i="3"/>
  <c r="D62" i="4" s="1"/>
  <c r="G703" i="3"/>
  <c r="E62" i="4" s="1"/>
  <c r="G656" i="3"/>
  <c r="F58" i="4" s="1"/>
  <c r="G690" i="3"/>
  <c r="D61" i="4" s="1"/>
  <c r="G704" i="3"/>
  <c r="F62" i="4" s="1"/>
  <c r="G654" i="3"/>
  <c r="G653" i="3"/>
  <c r="C58" i="4" s="1"/>
  <c r="G714" i="3"/>
  <c r="D63" i="4" s="1"/>
  <c r="G655" i="3"/>
  <c r="G689" i="3"/>
  <c r="G701" i="3"/>
  <c r="G248" i="3"/>
  <c r="F24" i="4" s="1"/>
  <c r="G677" i="3"/>
  <c r="G715" i="3"/>
  <c r="E63" i="4" s="1"/>
  <c r="B597" i="3"/>
  <c r="G594" i="3" s="1"/>
  <c r="D53" i="4" s="1"/>
  <c r="G678" i="3"/>
  <c r="D60" i="4" s="1"/>
  <c r="G5" i="3"/>
  <c r="C4" i="4" s="1"/>
  <c r="G210" i="3"/>
  <c r="D21" i="4" s="1"/>
  <c r="B645" i="3"/>
  <c r="G643" i="3" s="1"/>
  <c r="E57" i="4" s="1"/>
  <c r="B201" i="3"/>
  <c r="G199" i="3" s="1"/>
  <c r="E20" i="4" s="1"/>
  <c r="G679" i="3"/>
  <c r="E60" i="4" s="1"/>
  <c r="G713" i="3"/>
  <c r="C63" i="4" s="1"/>
  <c r="G716" i="3"/>
  <c r="F63" i="4" s="1"/>
  <c r="B489" i="3"/>
  <c r="G488" i="3" s="1"/>
  <c r="F44" i="4" s="1"/>
  <c r="G692" i="3"/>
  <c r="B273" i="3"/>
  <c r="G270" i="3" s="1"/>
  <c r="D26" i="4" s="1"/>
  <c r="G19" i="3"/>
  <c r="E5" i="4" s="1"/>
  <c r="G331" i="3"/>
  <c r="E31" i="4" s="1"/>
  <c r="G282" i="3"/>
  <c r="D27" i="4" s="1"/>
  <c r="G140" i="3"/>
  <c r="F15" i="4" s="1"/>
  <c r="G365" i="3"/>
  <c r="C34" i="4" s="1"/>
  <c r="G92" i="3"/>
  <c r="F11" i="4" s="1"/>
  <c r="G500" i="3"/>
  <c r="F45" i="4" s="1"/>
  <c r="G509" i="3"/>
  <c r="C46" i="4" s="1"/>
  <c r="G485" i="3"/>
  <c r="C44" i="4" s="1"/>
  <c r="G53" i="3"/>
  <c r="C8" i="4" s="1"/>
  <c r="G78" i="3"/>
  <c r="D10" i="4" s="1"/>
  <c r="C417" i="3"/>
  <c r="G414" i="3" s="1"/>
  <c r="D38" i="4" s="1"/>
  <c r="G44" i="3"/>
  <c r="F7" i="4" s="1"/>
  <c r="B633" i="3"/>
  <c r="G631" i="3" s="1"/>
  <c r="E56" i="4" s="1"/>
  <c r="G450" i="3"/>
  <c r="D41" i="4" s="1"/>
  <c r="G451" i="3"/>
  <c r="E41" i="4" s="1"/>
  <c r="G512" i="3"/>
  <c r="F46" i="4" s="1"/>
  <c r="G499" i="3"/>
  <c r="E45" i="4" s="1"/>
  <c r="G125" i="3"/>
  <c r="G570" i="3"/>
  <c r="D51" i="4" s="1"/>
  <c r="G80" i="3"/>
  <c r="F10" i="4" s="1"/>
  <c r="G426" i="3"/>
  <c r="D39" i="4" s="1"/>
  <c r="B297" i="3"/>
  <c r="G294" i="3" s="1"/>
  <c r="D28" i="4" s="1"/>
  <c r="G246" i="3"/>
  <c r="D24" i="4" s="1"/>
  <c r="G522" i="3"/>
  <c r="D47" i="4" s="1"/>
  <c r="G356" i="3"/>
  <c r="F33" i="4" s="1"/>
  <c r="G401" i="3"/>
  <c r="G402" i="3"/>
  <c r="D37" i="4" s="1"/>
  <c r="G404" i="3"/>
  <c r="F37" i="4" s="1"/>
  <c r="G437" i="3"/>
  <c r="G438" i="3"/>
  <c r="D40" i="4" s="1"/>
  <c r="G439" i="3"/>
  <c r="E40" i="4" s="1"/>
  <c r="B465" i="3"/>
  <c r="G462" i="3" s="1"/>
  <c r="D42" i="4" s="1"/>
  <c r="G127" i="3"/>
  <c r="E14" i="4" s="1"/>
  <c r="G366" i="3"/>
  <c r="D34" i="4" s="1"/>
  <c r="G128" i="3"/>
  <c r="F14" i="4" s="1"/>
  <c r="G425" i="3"/>
  <c r="B105" i="3"/>
  <c r="G101" i="3" s="1"/>
  <c r="B153" i="3"/>
  <c r="G151" i="3" s="1"/>
  <c r="E16" i="4" s="1"/>
  <c r="B477" i="3"/>
  <c r="G475" i="3" s="1"/>
  <c r="E43" i="4" s="1"/>
  <c r="B33" i="3"/>
  <c r="G31" i="3" s="1"/>
  <c r="E6" i="4" s="1"/>
  <c r="G55" i="3"/>
  <c r="E8" i="4" s="1"/>
  <c r="G7" i="3"/>
  <c r="E4" i="4" s="1"/>
  <c r="G511" i="3"/>
  <c r="E46" i="4" s="1"/>
  <c r="B345" i="3"/>
  <c r="G175" i="3"/>
  <c r="E18" i="4" s="1"/>
  <c r="B165" i="3"/>
  <c r="G164" i="3" s="1"/>
  <c r="F17" i="4" s="1"/>
  <c r="B321" i="3"/>
  <c r="G318" i="3" s="1"/>
  <c r="D30" i="4" s="1"/>
  <c r="G583" i="3"/>
  <c r="E52" i="4" s="1"/>
  <c r="G284" i="3"/>
  <c r="F27" i="4" s="1"/>
  <c r="G281" i="3"/>
  <c r="B117" i="3"/>
  <c r="G42" i="3"/>
  <c r="D7" i="4" s="1"/>
  <c r="G41" i="3"/>
  <c r="G43" i="3"/>
  <c r="E7" i="4" s="1"/>
  <c r="G368" i="3"/>
  <c r="F34" i="4" s="1"/>
  <c r="G8" i="3"/>
  <c r="F4" i="4" s="1"/>
  <c r="G126" i="3"/>
  <c r="D14" i="4" s="1"/>
  <c r="G440" i="3"/>
  <c r="F40" i="4" s="1"/>
  <c r="B69" i="3"/>
  <c r="G521" i="3"/>
  <c r="G211" i="3"/>
  <c r="E21" i="4" s="1"/>
  <c r="G329" i="3"/>
  <c r="G77" i="3"/>
  <c r="G79" i="3"/>
  <c r="E10" i="4" s="1"/>
  <c r="G54" i="3"/>
  <c r="D8" i="4" s="1"/>
  <c r="G449" i="3"/>
  <c r="G452" i="3"/>
  <c r="F41" i="4" s="1"/>
  <c r="G283" i="3"/>
  <c r="E27" i="4" s="1"/>
  <c r="G91" i="3"/>
  <c r="E11" i="4" s="1"/>
  <c r="G90" i="3"/>
  <c r="D11" i="4" s="1"/>
  <c r="G89" i="3"/>
  <c r="B549" i="3"/>
  <c r="G545" i="3" s="1"/>
  <c r="G224" i="3"/>
  <c r="F22" i="4" s="1"/>
  <c r="G221" i="3"/>
  <c r="G222" i="3"/>
  <c r="D22" i="4" s="1"/>
  <c r="G403" i="3"/>
  <c r="E37" i="4" s="1"/>
  <c r="G173" i="3"/>
  <c r="G176" i="3"/>
  <c r="F18" i="4" s="1"/>
  <c r="G174" i="3"/>
  <c r="D18" i="4" s="1"/>
  <c r="G581" i="3"/>
  <c r="G582" i="3"/>
  <c r="D52" i="4" s="1"/>
  <c r="G367" i="3"/>
  <c r="E34" i="4" s="1"/>
  <c r="G569" i="3"/>
  <c r="B393" i="3"/>
  <c r="G392" i="3" s="1"/>
  <c r="F36" i="4" s="1"/>
  <c r="G209" i="3"/>
  <c r="B609" i="3"/>
  <c r="G606" i="3" s="1"/>
  <c r="D54" i="4" s="1"/>
  <c r="G629" i="3"/>
  <c r="G595" i="3"/>
  <c r="E53" i="4" s="1"/>
  <c r="G56" i="3"/>
  <c r="F8" i="4" s="1"/>
  <c r="G571" i="3"/>
  <c r="E51" i="4" s="1"/>
  <c r="G354" i="3"/>
  <c r="D33" i="4" s="1"/>
  <c r="G353" i="3"/>
  <c r="G330" i="3"/>
  <c r="D31" i="4" s="1"/>
  <c r="G247" i="3"/>
  <c r="E24" i="4" s="1"/>
  <c r="G245" i="3"/>
  <c r="G355" i="3"/>
  <c r="E33" i="4" s="1"/>
  <c r="G427" i="3"/>
  <c r="E39" i="4" s="1"/>
  <c r="B621" i="3"/>
  <c r="G619" i="3" s="1"/>
  <c r="E55" i="4" s="1"/>
  <c r="G17" i="3"/>
  <c r="G20" i="3"/>
  <c r="F5" i="4" s="1"/>
  <c r="G18" i="3"/>
  <c r="D5" i="4" s="1"/>
  <c r="G572" i="3"/>
  <c r="F51" i="4" s="1"/>
  <c r="B537" i="3"/>
  <c r="G536" i="3" s="1"/>
  <c r="F48" i="4" s="1"/>
  <c r="G584" i="3"/>
  <c r="F52" i="4" s="1"/>
  <c r="B261" i="3"/>
  <c r="G260" i="3" s="1"/>
  <c r="F25" i="4" s="1"/>
  <c r="G6" i="3"/>
  <c r="D4" i="4" s="1"/>
  <c r="G212" i="3"/>
  <c r="F21" i="4" s="1"/>
  <c r="B309" i="3"/>
  <c r="G332" i="3"/>
  <c r="F31" i="4" s="1"/>
  <c r="G428" i="3"/>
  <c r="F39" i="4" s="1"/>
  <c r="G510" i="3"/>
  <c r="D46" i="4" s="1"/>
  <c r="G498" i="3"/>
  <c r="D45" i="4" s="1"/>
  <c r="G497" i="3"/>
  <c r="B561" i="3"/>
  <c r="G524" i="3"/>
  <c r="F47" i="4" s="1"/>
  <c r="B237" i="3"/>
  <c r="G234" i="3" s="1"/>
  <c r="D23" i="4" s="1"/>
  <c r="G139" i="3"/>
  <c r="E15" i="4" s="1"/>
  <c r="G138" i="3"/>
  <c r="D15" i="4" s="1"/>
  <c r="G137" i="3"/>
  <c r="G223" i="3"/>
  <c r="E22" i="4" s="1"/>
  <c r="G523" i="3"/>
  <c r="E47" i="4" s="1"/>
  <c r="B189" i="3"/>
  <c r="B381" i="3"/>
  <c r="H704" i="3" l="1"/>
  <c r="I704" i="3" s="1"/>
  <c r="G487" i="3"/>
  <c r="E44" i="4" s="1"/>
  <c r="G668" i="3"/>
  <c r="F59" i="4" s="1"/>
  <c r="G667" i="3"/>
  <c r="E59" i="4" s="1"/>
  <c r="G665" i="3"/>
  <c r="C59" i="4" s="1"/>
  <c r="G596" i="3"/>
  <c r="F53" i="4" s="1"/>
  <c r="G271" i="3"/>
  <c r="E26" i="4" s="1"/>
  <c r="G593" i="3"/>
  <c r="C53" i="4" s="1"/>
  <c r="H702" i="3"/>
  <c r="I702" i="3" s="1"/>
  <c r="H692" i="3"/>
  <c r="I692" i="3" s="1"/>
  <c r="F61" i="4"/>
  <c r="H653" i="3"/>
  <c r="I653" i="3" s="1"/>
  <c r="D58" i="4"/>
  <c r="H701" i="3"/>
  <c r="I701" i="3" s="1"/>
  <c r="C62" i="4"/>
  <c r="H690" i="3"/>
  <c r="I690" i="3" s="1"/>
  <c r="C61" i="4"/>
  <c r="H677" i="3"/>
  <c r="I677" i="3" s="1"/>
  <c r="C60" i="4"/>
  <c r="H656" i="3"/>
  <c r="I656" i="3" s="1"/>
  <c r="E58" i="4"/>
  <c r="G486" i="3"/>
  <c r="D44" i="4" s="1"/>
  <c r="H679" i="3"/>
  <c r="I679" i="3" s="1"/>
  <c r="H654" i="3"/>
  <c r="I654" i="3" s="1"/>
  <c r="H703" i="3"/>
  <c r="I703" i="3" s="1"/>
  <c r="G197" i="3"/>
  <c r="C20" i="4" s="1"/>
  <c r="H655" i="3"/>
  <c r="I655" i="3" s="1"/>
  <c r="H715" i="3"/>
  <c r="I715" i="3" s="1"/>
  <c r="G630" i="3"/>
  <c r="D56" i="4" s="1"/>
  <c r="H691" i="3"/>
  <c r="I691" i="3" s="1"/>
  <c r="G200" i="3"/>
  <c r="F20" i="4" s="1"/>
  <c r="H680" i="3"/>
  <c r="I680" i="3" s="1"/>
  <c r="G642" i="3"/>
  <c r="D57" i="4" s="1"/>
  <c r="H689" i="3"/>
  <c r="I689" i="3" s="1"/>
  <c r="H665" i="3"/>
  <c r="I665" i="3" s="1"/>
  <c r="G415" i="3"/>
  <c r="E38" i="4" s="1"/>
  <c r="G644" i="3"/>
  <c r="F57" i="4" s="1"/>
  <c r="G641" i="3"/>
  <c r="G198" i="3"/>
  <c r="H678" i="3"/>
  <c r="I678" i="3" s="1"/>
  <c r="H713" i="3"/>
  <c r="I713" i="3" s="1"/>
  <c r="H716" i="3"/>
  <c r="I716" i="3" s="1"/>
  <c r="H714" i="3"/>
  <c r="I714" i="3" s="1"/>
  <c r="G295" i="3"/>
  <c r="E28" i="4" s="1"/>
  <c r="G272" i="3"/>
  <c r="F26" i="4" s="1"/>
  <c r="G269" i="3"/>
  <c r="C26" i="4" s="1"/>
  <c r="G632" i="3"/>
  <c r="F56" i="4" s="1"/>
  <c r="H512" i="3"/>
  <c r="I512" i="3" s="1"/>
  <c r="H440" i="3"/>
  <c r="I440" i="3" s="1"/>
  <c r="G474" i="3"/>
  <c r="D43" i="4" s="1"/>
  <c r="H127" i="3"/>
  <c r="I127" i="3" s="1"/>
  <c r="H571" i="3"/>
  <c r="I571" i="3" s="1"/>
  <c r="C14" i="4"/>
  <c r="H509" i="3"/>
  <c r="I509" i="3" s="1"/>
  <c r="H583" i="3"/>
  <c r="I583" i="3" s="1"/>
  <c r="G416" i="3"/>
  <c r="F38" i="4" s="1"/>
  <c r="H486" i="3"/>
  <c r="I486" i="3" s="1"/>
  <c r="H126" i="3"/>
  <c r="I126" i="3" s="1"/>
  <c r="H6" i="3"/>
  <c r="I6" i="3" s="1"/>
  <c r="H7" i="3"/>
  <c r="I7" i="3" s="1"/>
  <c r="H223" i="3"/>
  <c r="I223" i="3" s="1"/>
  <c r="G413" i="3"/>
  <c r="H128" i="3"/>
  <c r="I128" i="3" s="1"/>
  <c r="G293" i="3"/>
  <c r="C28" i="4" s="1"/>
  <c r="G546" i="3"/>
  <c r="D49" i="4" s="1"/>
  <c r="G548" i="3"/>
  <c r="F49" i="4" s="1"/>
  <c r="H511" i="3"/>
  <c r="I511" i="3" s="1"/>
  <c r="H510" i="3"/>
  <c r="I510" i="3" s="1"/>
  <c r="G32" i="3"/>
  <c r="F6" i="4" s="1"/>
  <c r="H8" i="3"/>
  <c r="I8" i="3" s="1"/>
  <c r="H212" i="3"/>
  <c r="I212" i="3" s="1"/>
  <c r="H367" i="3"/>
  <c r="I367" i="3" s="1"/>
  <c r="G608" i="3"/>
  <c r="F54" i="4" s="1"/>
  <c r="H365" i="3"/>
  <c r="I365" i="3" s="1"/>
  <c r="G296" i="3"/>
  <c r="F28" i="4" s="1"/>
  <c r="H175" i="3"/>
  <c r="I175" i="3" s="1"/>
  <c r="H366" i="3"/>
  <c r="I366" i="3" s="1"/>
  <c r="G65" i="3"/>
  <c r="G68" i="3"/>
  <c r="F9" i="4" s="1"/>
  <c r="G461" i="3"/>
  <c r="G463" i="3"/>
  <c r="E42" i="4" s="1"/>
  <c r="G464" i="3"/>
  <c r="F42" i="4" s="1"/>
  <c r="C41" i="4"/>
  <c r="H449" i="3"/>
  <c r="I449" i="3" s="1"/>
  <c r="H452" i="3"/>
  <c r="I452" i="3" s="1"/>
  <c r="H451" i="3"/>
  <c r="I451" i="3" s="1"/>
  <c r="H450" i="3"/>
  <c r="I450" i="3" s="1"/>
  <c r="G104" i="3"/>
  <c r="F12" i="4" s="1"/>
  <c r="H353" i="3"/>
  <c r="I353" i="3" s="1"/>
  <c r="C33" i="4"/>
  <c r="H356" i="3"/>
  <c r="I356" i="3" s="1"/>
  <c r="H354" i="3"/>
  <c r="I354" i="3" s="1"/>
  <c r="H355" i="3"/>
  <c r="I355" i="3" s="1"/>
  <c r="G185" i="3"/>
  <c r="G188" i="3"/>
  <c r="F19" i="4" s="1"/>
  <c r="G187" i="3"/>
  <c r="E19" i="4" s="1"/>
  <c r="C10" i="4"/>
  <c r="H77" i="3"/>
  <c r="I77" i="3" s="1"/>
  <c r="H79" i="3"/>
  <c r="I79" i="3" s="1"/>
  <c r="H80" i="3"/>
  <c r="I80" i="3" s="1"/>
  <c r="H78" i="3"/>
  <c r="I78" i="3" s="1"/>
  <c r="C7" i="4"/>
  <c r="H42" i="3"/>
  <c r="I42" i="3" s="1"/>
  <c r="H41" i="3"/>
  <c r="I41" i="3" s="1"/>
  <c r="H43" i="3"/>
  <c r="I43" i="3" s="1"/>
  <c r="H44" i="3"/>
  <c r="I44" i="3" s="1"/>
  <c r="G29" i="3"/>
  <c r="G30" i="3"/>
  <c r="D6" i="4" s="1"/>
  <c r="C37" i="4"/>
  <c r="H402" i="3"/>
  <c r="I402" i="3" s="1"/>
  <c r="H401" i="3"/>
  <c r="I401" i="3" s="1"/>
  <c r="H404" i="3"/>
  <c r="I404" i="3" s="1"/>
  <c r="G113" i="3"/>
  <c r="G114" i="3"/>
  <c r="D13" i="4" s="1"/>
  <c r="G116" i="3"/>
  <c r="F13" i="4" s="1"/>
  <c r="C27" i="4"/>
  <c r="H284" i="3"/>
  <c r="I284" i="3" s="1"/>
  <c r="H281" i="3"/>
  <c r="I281" i="3" s="1"/>
  <c r="H282" i="3"/>
  <c r="I282" i="3" s="1"/>
  <c r="C12" i="4"/>
  <c r="C24" i="4"/>
  <c r="H245" i="3"/>
  <c r="I245" i="3" s="1"/>
  <c r="H247" i="3"/>
  <c r="I247" i="3" s="1"/>
  <c r="H248" i="3"/>
  <c r="I248" i="3" s="1"/>
  <c r="H246" i="3"/>
  <c r="I246" i="3" s="1"/>
  <c r="H569" i="3"/>
  <c r="I569" i="3" s="1"/>
  <c r="C51" i="4"/>
  <c r="H570" i="3"/>
  <c r="I570" i="3" s="1"/>
  <c r="H572" i="3"/>
  <c r="I572" i="3" s="1"/>
  <c r="G102" i="3"/>
  <c r="D12" i="4" s="1"/>
  <c r="C15" i="4"/>
  <c r="H139" i="3"/>
  <c r="I139" i="3" s="1"/>
  <c r="H137" i="3"/>
  <c r="I137" i="3" s="1"/>
  <c r="H138" i="3"/>
  <c r="I138" i="3" s="1"/>
  <c r="H140" i="3"/>
  <c r="I140" i="3" s="1"/>
  <c r="G305" i="3"/>
  <c r="G307" i="3"/>
  <c r="E29" i="4" s="1"/>
  <c r="G306" i="3"/>
  <c r="D29" i="4" s="1"/>
  <c r="H487" i="3"/>
  <c r="I487" i="3" s="1"/>
  <c r="C31" i="4"/>
  <c r="H329" i="3"/>
  <c r="I329" i="3" s="1"/>
  <c r="H331" i="3"/>
  <c r="I331" i="3" s="1"/>
  <c r="H330" i="3"/>
  <c r="I330" i="3" s="1"/>
  <c r="H332" i="3"/>
  <c r="I332" i="3" s="1"/>
  <c r="G341" i="3"/>
  <c r="G343" i="3"/>
  <c r="E32" i="4" s="1"/>
  <c r="G342" i="3"/>
  <c r="D32" i="4" s="1"/>
  <c r="G233" i="3"/>
  <c r="G235" i="3"/>
  <c r="E23" i="4" s="1"/>
  <c r="G236" i="3"/>
  <c r="F23" i="4" s="1"/>
  <c r="H5" i="3"/>
  <c r="I5" i="3" s="1"/>
  <c r="H521" i="3"/>
  <c r="I521" i="3" s="1"/>
  <c r="C47" i="4"/>
  <c r="H524" i="3"/>
  <c r="I524" i="3" s="1"/>
  <c r="H522" i="3"/>
  <c r="I522" i="3" s="1"/>
  <c r="G473" i="3"/>
  <c r="G476" i="3"/>
  <c r="F43" i="4" s="1"/>
  <c r="C22" i="4"/>
  <c r="H221" i="3"/>
  <c r="I221" i="3" s="1"/>
  <c r="H224" i="3"/>
  <c r="I224" i="3" s="1"/>
  <c r="H222" i="3"/>
  <c r="I222" i="3" s="1"/>
  <c r="G379" i="3"/>
  <c r="E35" i="4" s="1"/>
  <c r="G377" i="3"/>
  <c r="G380" i="3"/>
  <c r="F35" i="4" s="1"/>
  <c r="G67" i="3"/>
  <c r="E9" i="4" s="1"/>
  <c r="G557" i="3"/>
  <c r="G559" i="3"/>
  <c r="E50" i="4" s="1"/>
  <c r="G560" i="3"/>
  <c r="F50" i="4" s="1"/>
  <c r="G533" i="3"/>
  <c r="G534" i="3"/>
  <c r="D48" i="4" s="1"/>
  <c r="H55" i="3"/>
  <c r="I55" i="3" s="1"/>
  <c r="H368" i="3"/>
  <c r="I368" i="3" s="1"/>
  <c r="C52" i="4"/>
  <c r="H581" i="3"/>
  <c r="I581" i="3" s="1"/>
  <c r="H582" i="3"/>
  <c r="I582" i="3" s="1"/>
  <c r="H584" i="3"/>
  <c r="I584" i="3" s="1"/>
  <c r="H91" i="3"/>
  <c r="I91" i="3" s="1"/>
  <c r="H89" i="3"/>
  <c r="I89" i="3" s="1"/>
  <c r="H90" i="3"/>
  <c r="I90" i="3" s="1"/>
  <c r="C11" i="4"/>
  <c r="H92" i="3"/>
  <c r="I92" i="3" s="1"/>
  <c r="H498" i="3"/>
  <c r="I498" i="3" s="1"/>
  <c r="C45" i="4"/>
  <c r="H497" i="3"/>
  <c r="I497" i="3" s="1"/>
  <c r="H499" i="3"/>
  <c r="I499" i="3" s="1"/>
  <c r="H500" i="3"/>
  <c r="I500" i="3" s="1"/>
  <c r="H53" i="3"/>
  <c r="I53" i="3" s="1"/>
  <c r="G186" i="3"/>
  <c r="D19" i="4" s="1"/>
  <c r="G257" i="3"/>
  <c r="G258" i="3"/>
  <c r="D25" i="4" s="1"/>
  <c r="G259" i="3"/>
  <c r="E25" i="4" s="1"/>
  <c r="G317" i="3"/>
  <c r="G320" i="3"/>
  <c r="F30" i="4" s="1"/>
  <c r="G319" i="3"/>
  <c r="E30" i="4" s="1"/>
  <c r="H523" i="3"/>
  <c r="I523" i="3" s="1"/>
  <c r="G308" i="3"/>
  <c r="F29" i="4" s="1"/>
  <c r="C5" i="4"/>
  <c r="H17" i="3"/>
  <c r="I17" i="3" s="1"/>
  <c r="H20" i="3"/>
  <c r="I20" i="3" s="1"/>
  <c r="H18" i="3"/>
  <c r="I18" i="3" s="1"/>
  <c r="H19" i="3"/>
  <c r="I19" i="3" s="1"/>
  <c r="H209" i="3"/>
  <c r="I209" i="3" s="1"/>
  <c r="H211" i="3"/>
  <c r="I211" i="3" s="1"/>
  <c r="C21" i="4"/>
  <c r="H210" i="3"/>
  <c r="I210" i="3" s="1"/>
  <c r="C18" i="4"/>
  <c r="H173" i="3"/>
  <c r="I173" i="3" s="1"/>
  <c r="H176" i="3"/>
  <c r="I176" i="3" s="1"/>
  <c r="H174" i="3"/>
  <c r="I174" i="3" s="1"/>
  <c r="G115" i="3"/>
  <c r="E13" i="4" s="1"/>
  <c r="G161" i="3"/>
  <c r="G163" i="3"/>
  <c r="E17" i="4" s="1"/>
  <c r="G149" i="3"/>
  <c r="G152" i="3"/>
  <c r="F16" i="4" s="1"/>
  <c r="G344" i="3"/>
  <c r="F32" i="4" s="1"/>
  <c r="C49" i="4"/>
  <c r="H54" i="3"/>
  <c r="I54" i="3" s="1"/>
  <c r="C40" i="4"/>
  <c r="H437" i="3"/>
  <c r="I437" i="3" s="1"/>
  <c r="H438" i="3"/>
  <c r="I438" i="3" s="1"/>
  <c r="H439" i="3"/>
  <c r="I439" i="3" s="1"/>
  <c r="C39" i="4"/>
  <c r="H425" i="3"/>
  <c r="I425" i="3" s="1"/>
  <c r="H426" i="3"/>
  <c r="I426" i="3" s="1"/>
  <c r="H427" i="3"/>
  <c r="I427" i="3" s="1"/>
  <c r="H428" i="3"/>
  <c r="I428" i="3" s="1"/>
  <c r="G378" i="3"/>
  <c r="D35" i="4" s="1"/>
  <c r="G558" i="3"/>
  <c r="D50" i="4" s="1"/>
  <c r="C56" i="4"/>
  <c r="G547" i="3"/>
  <c r="H593" i="3"/>
  <c r="I593" i="3" s="1"/>
  <c r="G607" i="3"/>
  <c r="E54" i="4" s="1"/>
  <c r="G605" i="3"/>
  <c r="H125" i="3"/>
  <c r="I125" i="3" s="1"/>
  <c r="G103" i="3"/>
  <c r="E12" i="4" s="1"/>
  <c r="G617" i="3"/>
  <c r="G620" i="3"/>
  <c r="F55" i="4" s="1"/>
  <c r="G618" i="3"/>
  <c r="D55" i="4" s="1"/>
  <c r="G390" i="3"/>
  <c r="D36" i="4" s="1"/>
  <c r="G389" i="3"/>
  <c r="G391" i="3"/>
  <c r="E36" i="4" s="1"/>
  <c r="G535" i="3"/>
  <c r="E48" i="4" s="1"/>
  <c r="H403" i="3"/>
  <c r="I403" i="3" s="1"/>
  <c r="H283" i="3"/>
  <c r="I283" i="3" s="1"/>
  <c r="G66" i="3"/>
  <c r="D9" i="4" s="1"/>
  <c r="G162" i="3"/>
  <c r="D17" i="4" s="1"/>
  <c r="G150" i="3"/>
  <c r="D16" i="4" s="1"/>
  <c r="H56" i="3"/>
  <c r="I56" i="3" s="1"/>
  <c r="H666" i="3" l="1"/>
  <c r="I666" i="3" s="1"/>
  <c r="H668" i="3"/>
  <c r="I668" i="3" s="1"/>
  <c r="G658" i="3"/>
  <c r="G659" i="3" s="1"/>
  <c r="G660" i="3" s="1"/>
  <c r="G58" i="4" s="1"/>
  <c r="H488" i="3"/>
  <c r="I488" i="3" s="1"/>
  <c r="H595" i="3"/>
  <c r="I595" i="3" s="1"/>
  <c r="H594" i="3"/>
  <c r="I594" i="3" s="1"/>
  <c r="G598" i="3" s="1"/>
  <c r="G599" i="3" s="1"/>
  <c r="G600" i="3" s="1"/>
  <c r="H485" i="3"/>
  <c r="I485" i="3" s="1"/>
  <c r="G490" i="3" s="1"/>
  <c r="G491" i="3" s="1"/>
  <c r="G492" i="3" s="1"/>
  <c r="G44" i="4" s="1"/>
  <c r="G682" i="3"/>
  <c r="G683" i="3" s="1"/>
  <c r="G684" i="3" s="1"/>
  <c r="G60" i="4" s="1"/>
  <c r="H198" i="3"/>
  <c r="I198" i="3" s="1"/>
  <c r="H596" i="3"/>
  <c r="I596" i="3" s="1"/>
  <c r="H415" i="3"/>
  <c r="I415" i="3" s="1"/>
  <c r="H644" i="3"/>
  <c r="I644" i="3" s="1"/>
  <c r="H667" i="3"/>
  <c r="I667" i="3" s="1"/>
  <c r="H269" i="3"/>
  <c r="I269" i="3" s="1"/>
  <c r="G706" i="3"/>
  <c r="G707" i="3" s="1"/>
  <c r="G708" i="3" s="1"/>
  <c r="G62" i="4" s="1"/>
  <c r="C38" i="4"/>
  <c r="G694" i="3"/>
  <c r="G695" i="3" s="1"/>
  <c r="G696" i="3" s="1"/>
  <c r="G61" i="4" s="1"/>
  <c r="D20" i="4"/>
  <c r="H632" i="3"/>
  <c r="I632" i="3" s="1"/>
  <c r="G718" i="3"/>
  <c r="G719" i="3" s="1"/>
  <c r="G720" i="3" s="1"/>
  <c r="G63" i="4" s="1"/>
  <c r="H199" i="3"/>
  <c r="I199" i="3" s="1"/>
  <c r="H200" i="3"/>
  <c r="I200" i="3" s="1"/>
  <c r="H642" i="3"/>
  <c r="I642" i="3" s="1"/>
  <c r="H643" i="3"/>
  <c r="I643" i="3" s="1"/>
  <c r="H631" i="3"/>
  <c r="I631" i="3" s="1"/>
  <c r="C57" i="4"/>
  <c r="H197" i="3"/>
  <c r="I197" i="3" s="1"/>
  <c r="H629" i="3"/>
  <c r="I629" i="3" s="1"/>
  <c r="H641" i="3"/>
  <c r="I641" i="3" s="1"/>
  <c r="H630" i="3"/>
  <c r="I630" i="3" s="1"/>
  <c r="H272" i="3"/>
  <c r="I272" i="3" s="1"/>
  <c r="H270" i="3"/>
  <c r="I270" i="3" s="1"/>
  <c r="H545" i="3"/>
  <c r="I545" i="3" s="1"/>
  <c r="H416" i="3"/>
  <c r="I416" i="3" s="1"/>
  <c r="H271" i="3"/>
  <c r="I271" i="3" s="1"/>
  <c r="H547" i="3"/>
  <c r="I547" i="3" s="1"/>
  <c r="H414" i="3"/>
  <c r="I414" i="3" s="1"/>
  <c r="H413" i="3"/>
  <c r="I413" i="3" s="1"/>
  <c r="G514" i="3"/>
  <c r="G515" i="3" s="1"/>
  <c r="G516" i="3" s="1"/>
  <c r="G517" i="3" s="1"/>
  <c r="H46" i="4" s="1"/>
  <c r="G10" i="3"/>
  <c r="G11" i="3" s="1"/>
  <c r="G12" i="3" s="1"/>
  <c r="G4" i="4" s="1"/>
  <c r="G130" i="3"/>
  <c r="G131" i="3" s="1"/>
  <c r="G132" i="3" s="1"/>
  <c r="G14" i="4" s="1"/>
  <c r="G370" i="3"/>
  <c r="G371" i="3" s="1"/>
  <c r="G372" i="3" s="1"/>
  <c r="G34" i="4" s="1"/>
  <c r="G358" i="3"/>
  <c r="G359" i="3" s="1"/>
  <c r="G360" i="3" s="1"/>
  <c r="H295" i="3"/>
  <c r="I295" i="3" s="1"/>
  <c r="H294" i="3"/>
  <c r="I294" i="3" s="1"/>
  <c r="H293" i="3"/>
  <c r="I293" i="3" s="1"/>
  <c r="G406" i="3"/>
  <c r="G407" i="3" s="1"/>
  <c r="G408" i="3" s="1"/>
  <c r="H296" i="3"/>
  <c r="I296" i="3" s="1"/>
  <c r="C30" i="4"/>
  <c r="H317" i="3"/>
  <c r="I317" i="3" s="1"/>
  <c r="H319" i="3"/>
  <c r="I319" i="3" s="1"/>
  <c r="H320" i="3"/>
  <c r="I320" i="3" s="1"/>
  <c r="H318" i="3"/>
  <c r="I318" i="3" s="1"/>
  <c r="C32" i="4"/>
  <c r="H343" i="3"/>
  <c r="I343" i="3" s="1"/>
  <c r="H341" i="3"/>
  <c r="I341" i="3" s="1"/>
  <c r="H342" i="3"/>
  <c r="I342" i="3" s="1"/>
  <c r="H344" i="3"/>
  <c r="I344" i="3" s="1"/>
  <c r="H461" i="3"/>
  <c r="I461" i="3" s="1"/>
  <c r="C42" i="4"/>
  <c r="H464" i="3"/>
  <c r="I464" i="3" s="1"/>
  <c r="H463" i="3"/>
  <c r="I463" i="3" s="1"/>
  <c r="H462" i="3"/>
  <c r="I462" i="3" s="1"/>
  <c r="G178" i="3"/>
  <c r="G179" i="3" s="1"/>
  <c r="G180" i="3" s="1"/>
  <c r="C35" i="4"/>
  <c r="H377" i="3"/>
  <c r="I377" i="3" s="1"/>
  <c r="H379" i="3"/>
  <c r="I379" i="3" s="1"/>
  <c r="H380" i="3"/>
  <c r="I380" i="3" s="1"/>
  <c r="H378" i="3"/>
  <c r="I378" i="3" s="1"/>
  <c r="H101" i="3"/>
  <c r="I101" i="3" s="1"/>
  <c r="G46" i="3"/>
  <c r="G47" i="3" s="1"/>
  <c r="G48" i="3" s="1"/>
  <c r="H185" i="3"/>
  <c r="I185" i="3" s="1"/>
  <c r="C19" i="4"/>
  <c r="H188" i="3"/>
  <c r="I188" i="3" s="1"/>
  <c r="H187" i="3"/>
  <c r="I187" i="3" s="1"/>
  <c r="H186" i="3"/>
  <c r="I186" i="3" s="1"/>
  <c r="C16" i="4"/>
  <c r="H149" i="3"/>
  <c r="I149" i="3" s="1"/>
  <c r="H152" i="3"/>
  <c r="I152" i="3" s="1"/>
  <c r="H151" i="3"/>
  <c r="I151" i="3" s="1"/>
  <c r="H150" i="3"/>
  <c r="I150" i="3" s="1"/>
  <c r="C36" i="4"/>
  <c r="H389" i="3"/>
  <c r="I389" i="3" s="1"/>
  <c r="H390" i="3"/>
  <c r="I390" i="3" s="1"/>
  <c r="H391" i="3"/>
  <c r="I391" i="3" s="1"/>
  <c r="H392" i="3"/>
  <c r="I392" i="3" s="1"/>
  <c r="C6" i="4"/>
  <c r="H29" i="3"/>
  <c r="I29" i="3" s="1"/>
  <c r="H30" i="3"/>
  <c r="I30" i="3" s="1"/>
  <c r="H32" i="3"/>
  <c r="I32" i="3" s="1"/>
  <c r="H31" i="3"/>
  <c r="I31" i="3" s="1"/>
  <c r="G58" i="3"/>
  <c r="G59" i="3" s="1"/>
  <c r="G60" i="3" s="1"/>
  <c r="G526" i="3"/>
  <c r="G527" i="3" s="1"/>
  <c r="G528" i="3" s="1"/>
  <c r="G334" i="3"/>
  <c r="G335" i="3" s="1"/>
  <c r="G336" i="3" s="1"/>
  <c r="C29" i="4"/>
  <c r="H305" i="3"/>
  <c r="I305" i="3" s="1"/>
  <c r="H307" i="3"/>
  <c r="I307" i="3" s="1"/>
  <c r="H306" i="3"/>
  <c r="I306" i="3" s="1"/>
  <c r="H308" i="3"/>
  <c r="I308" i="3" s="1"/>
  <c r="H533" i="3"/>
  <c r="I533" i="3" s="1"/>
  <c r="C48" i="4"/>
  <c r="H534" i="3"/>
  <c r="I534" i="3" s="1"/>
  <c r="H535" i="3"/>
  <c r="I535" i="3" s="1"/>
  <c r="H536" i="3"/>
  <c r="I536" i="3" s="1"/>
  <c r="H103" i="3"/>
  <c r="I103" i="3" s="1"/>
  <c r="G250" i="3"/>
  <c r="G251" i="3" s="1"/>
  <c r="G252" i="3" s="1"/>
  <c r="G454" i="3"/>
  <c r="G455" i="3" s="1"/>
  <c r="G456" i="3" s="1"/>
  <c r="G442" i="3"/>
  <c r="G443" i="3" s="1"/>
  <c r="G444" i="3" s="1"/>
  <c r="G142" i="3"/>
  <c r="G143" i="3" s="1"/>
  <c r="G144" i="3" s="1"/>
  <c r="G82" i="3"/>
  <c r="G83" i="3" s="1"/>
  <c r="G84" i="3" s="1"/>
  <c r="C25" i="4"/>
  <c r="H257" i="3"/>
  <c r="I257" i="3" s="1"/>
  <c r="H258" i="3"/>
  <c r="I258" i="3" s="1"/>
  <c r="H259" i="3"/>
  <c r="I259" i="3" s="1"/>
  <c r="H260" i="3"/>
  <c r="I260" i="3" s="1"/>
  <c r="H557" i="3"/>
  <c r="I557" i="3" s="1"/>
  <c r="C50" i="4"/>
  <c r="H560" i="3"/>
  <c r="I560" i="3" s="1"/>
  <c r="H559" i="3"/>
  <c r="I559" i="3" s="1"/>
  <c r="H558" i="3"/>
  <c r="I558" i="3" s="1"/>
  <c r="G22" i="3"/>
  <c r="G23" i="3" s="1"/>
  <c r="G24" i="3" s="1"/>
  <c r="H617" i="3"/>
  <c r="I617" i="3" s="1"/>
  <c r="C55" i="4"/>
  <c r="H618" i="3"/>
  <c r="I618" i="3" s="1"/>
  <c r="H620" i="3"/>
  <c r="I620" i="3" s="1"/>
  <c r="H619" i="3"/>
  <c r="I619" i="3" s="1"/>
  <c r="G502" i="3"/>
  <c r="G503" i="3" s="1"/>
  <c r="G504" i="3" s="1"/>
  <c r="G586" i="3"/>
  <c r="G587" i="3" s="1"/>
  <c r="G588" i="3" s="1"/>
  <c r="C43" i="4"/>
  <c r="H473" i="3"/>
  <c r="I473" i="3" s="1"/>
  <c r="H476" i="3"/>
  <c r="I476" i="3" s="1"/>
  <c r="H474" i="3"/>
  <c r="I474" i="3" s="1"/>
  <c r="H475" i="3"/>
  <c r="I475" i="3" s="1"/>
  <c r="C9" i="4"/>
  <c r="H68" i="3"/>
  <c r="I68" i="3" s="1"/>
  <c r="H65" i="3"/>
  <c r="I65" i="3" s="1"/>
  <c r="H66" i="3"/>
  <c r="I66" i="3" s="1"/>
  <c r="H67" i="3"/>
  <c r="I67" i="3" s="1"/>
  <c r="H235" i="3"/>
  <c r="I235" i="3" s="1"/>
  <c r="C23" i="4"/>
  <c r="H233" i="3"/>
  <c r="I233" i="3" s="1"/>
  <c r="H236" i="3"/>
  <c r="I236" i="3" s="1"/>
  <c r="H234" i="3"/>
  <c r="I234" i="3" s="1"/>
  <c r="G574" i="3"/>
  <c r="G575" i="3" s="1"/>
  <c r="G576" i="3" s="1"/>
  <c r="C13" i="4"/>
  <c r="H113" i="3"/>
  <c r="I113" i="3" s="1"/>
  <c r="H114" i="3"/>
  <c r="I114" i="3" s="1"/>
  <c r="H116" i="3"/>
  <c r="I116" i="3" s="1"/>
  <c r="H115" i="3"/>
  <c r="I115" i="3" s="1"/>
  <c r="H102" i="3"/>
  <c r="I102" i="3" s="1"/>
  <c r="G214" i="3"/>
  <c r="G215" i="3" s="1"/>
  <c r="G216" i="3" s="1"/>
  <c r="C17" i="4"/>
  <c r="H161" i="3"/>
  <c r="I161" i="3" s="1"/>
  <c r="H163" i="3"/>
  <c r="I163" i="3" s="1"/>
  <c r="H162" i="3"/>
  <c r="I162" i="3" s="1"/>
  <c r="H164" i="3"/>
  <c r="I164" i="3" s="1"/>
  <c r="G226" i="3"/>
  <c r="G227" i="3" s="1"/>
  <c r="G228" i="3" s="1"/>
  <c r="H104" i="3"/>
  <c r="I104" i="3" s="1"/>
  <c r="H605" i="3"/>
  <c r="I605" i="3" s="1"/>
  <c r="C54" i="4"/>
  <c r="H607" i="3"/>
  <c r="I607" i="3" s="1"/>
  <c r="H608" i="3"/>
  <c r="I608" i="3" s="1"/>
  <c r="H606" i="3"/>
  <c r="I606" i="3" s="1"/>
  <c r="G94" i="3"/>
  <c r="G95" i="3" s="1"/>
  <c r="G96" i="3" s="1"/>
  <c r="E49" i="4"/>
  <c r="H548" i="3"/>
  <c r="I548" i="3" s="1"/>
  <c r="G430" i="3"/>
  <c r="G431" i="3" s="1"/>
  <c r="G432" i="3" s="1"/>
  <c r="G286" i="3"/>
  <c r="G287" i="3" s="1"/>
  <c r="G288" i="3" s="1"/>
  <c r="H546" i="3"/>
  <c r="I546" i="3" s="1"/>
  <c r="G670" i="3" l="1"/>
  <c r="G671" i="3" s="1"/>
  <c r="G672" i="3" s="1"/>
  <c r="G59" i="4" s="1"/>
  <c r="G646" i="3"/>
  <c r="G647" i="3" s="1"/>
  <c r="G648" i="3" s="1"/>
  <c r="G46" i="4"/>
  <c r="G274" i="3"/>
  <c r="G275" i="3" s="1"/>
  <c r="G276" i="3" s="1"/>
  <c r="G277" i="3" s="1"/>
  <c r="H26" i="4" s="1"/>
  <c r="G634" i="3"/>
  <c r="G635" i="3" s="1"/>
  <c r="G636" i="3" s="1"/>
  <c r="G56" i="4" s="1"/>
  <c r="G418" i="3"/>
  <c r="G419" i="3" s="1"/>
  <c r="G420" i="3" s="1"/>
  <c r="G421" i="3" s="1"/>
  <c r="H38" i="4" s="1"/>
  <c r="G202" i="3"/>
  <c r="G203" i="3" s="1"/>
  <c r="G204" i="3" s="1"/>
  <c r="G20" i="4" s="1"/>
  <c r="G493" i="3"/>
  <c r="H44" i="4" s="1"/>
  <c r="G133" i="3"/>
  <c r="H14" i="4" s="1"/>
  <c r="G373" i="3"/>
  <c r="H34" i="4" s="1"/>
  <c r="G550" i="3"/>
  <c r="G551" i="3" s="1"/>
  <c r="G552" i="3" s="1"/>
  <c r="G49" i="4" s="1"/>
  <c r="G13" i="3"/>
  <c r="H4" i="4" s="1"/>
  <c r="G45" i="4"/>
  <c r="G505" i="3"/>
  <c r="H45" i="4" s="1"/>
  <c r="G40" i="4"/>
  <c r="G445" i="3"/>
  <c r="H40" i="4" s="1"/>
  <c r="G24" i="4"/>
  <c r="G253" i="3"/>
  <c r="H24" i="4" s="1"/>
  <c r="G31" i="4"/>
  <c r="G337" i="3"/>
  <c r="H31" i="4" s="1"/>
  <c r="G610" i="3"/>
  <c r="G611" i="3" s="1"/>
  <c r="G612" i="3" s="1"/>
  <c r="G70" i="3"/>
  <c r="G71" i="3" s="1"/>
  <c r="G72" i="3" s="1"/>
  <c r="G47" i="4"/>
  <c r="G529" i="3"/>
  <c r="H47" i="4" s="1"/>
  <c r="G18" i="4"/>
  <c r="G181" i="3"/>
  <c r="H18" i="4" s="1"/>
  <c r="G37" i="4"/>
  <c r="G409" i="3"/>
  <c r="H37" i="4" s="1"/>
  <c r="G53" i="4"/>
  <c r="G601" i="3"/>
  <c r="H53" i="4" s="1"/>
  <c r="G27" i="4"/>
  <c r="G289" i="3"/>
  <c r="H27" i="4" s="1"/>
  <c r="G22" i="4"/>
  <c r="G229" i="3"/>
  <c r="H22" i="4" s="1"/>
  <c r="G8" i="4"/>
  <c r="G61" i="3"/>
  <c r="H8" i="4" s="1"/>
  <c r="G26" i="4"/>
  <c r="G39" i="4"/>
  <c r="G433" i="3"/>
  <c r="H39" i="4" s="1"/>
  <c r="G51" i="4"/>
  <c r="G577" i="3"/>
  <c r="H51" i="4" s="1"/>
  <c r="G57" i="4"/>
  <c r="G649" i="3"/>
  <c r="H57" i="4" s="1"/>
  <c r="G298" i="3"/>
  <c r="G299" i="3" s="1"/>
  <c r="G300" i="3" s="1"/>
  <c r="G5" i="4"/>
  <c r="G25" i="3"/>
  <c r="H5" i="4" s="1"/>
  <c r="G7" i="4"/>
  <c r="G49" i="3"/>
  <c r="H7" i="4" s="1"/>
  <c r="G38" i="4"/>
  <c r="G33" i="4"/>
  <c r="G361" i="3"/>
  <c r="H33" i="4" s="1"/>
  <c r="G11" i="4"/>
  <c r="G97" i="3"/>
  <c r="H11" i="4" s="1"/>
  <c r="G10" i="4"/>
  <c r="G85" i="3"/>
  <c r="H10" i="4" s="1"/>
  <c r="G21" i="4"/>
  <c r="G217" i="3"/>
  <c r="H21" i="4" s="1"/>
  <c r="G52" i="4"/>
  <c r="G589" i="3"/>
  <c r="H52" i="4" s="1"/>
  <c r="G15" i="4"/>
  <c r="G145" i="3"/>
  <c r="H15" i="4" s="1"/>
  <c r="G41" i="4"/>
  <c r="G457" i="3"/>
  <c r="H41" i="4" s="1"/>
  <c r="G622" i="3"/>
  <c r="G623" i="3" s="1"/>
  <c r="G624" i="3" s="1"/>
  <c r="G118" i="3"/>
  <c r="G119" i="3" s="1"/>
  <c r="G120" i="3" s="1"/>
  <c r="G262" i="3"/>
  <c r="G263" i="3" s="1"/>
  <c r="G264" i="3" s="1"/>
  <c r="G538" i="3"/>
  <c r="G539" i="3" s="1"/>
  <c r="G540" i="3" s="1"/>
  <c r="G190" i="3"/>
  <c r="G191" i="3" s="1"/>
  <c r="G192" i="3" s="1"/>
  <c r="G166" i="3"/>
  <c r="G167" i="3" s="1"/>
  <c r="G168" i="3" s="1"/>
  <c r="G478" i="3"/>
  <c r="G479" i="3" s="1"/>
  <c r="G480" i="3" s="1"/>
  <c r="G34" i="3"/>
  <c r="G35" i="3" s="1"/>
  <c r="G36" i="3" s="1"/>
  <c r="G310" i="3"/>
  <c r="G311" i="3" s="1"/>
  <c r="G312" i="3" s="1"/>
  <c r="G322" i="3"/>
  <c r="G323" i="3" s="1"/>
  <c r="G324" i="3" s="1"/>
  <c r="G394" i="3"/>
  <c r="G395" i="3" s="1"/>
  <c r="G396" i="3" s="1"/>
  <c r="G346" i="3"/>
  <c r="G347" i="3" s="1"/>
  <c r="G348" i="3" s="1"/>
  <c r="G238" i="3"/>
  <c r="G239" i="3" s="1"/>
  <c r="G240" i="3" s="1"/>
  <c r="G106" i="3"/>
  <c r="G107" i="3" s="1"/>
  <c r="G108" i="3" s="1"/>
  <c r="G466" i="3"/>
  <c r="G467" i="3" s="1"/>
  <c r="G468" i="3" s="1"/>
  <c r="G562" i="3"/>
  <c r="G563" i="3" s="1"/>
  <c r="G564" i="3" s="1"/>
  <c r="G154" i="3"/>
  <c r="G155" i="3" s="1"/>
  <c r="G156" i="3" s="1"/>
  <c r="G382" i="3"/>
  <c r="G383" i="3" s="1"/>
  <c r="G384" i="3" s="1"/>
  <c r="G637" i="3" l="1"/>
  <c r="H56" i="4" s="1"/>
  <c r="G205" i="3"/>
  <c r="H20" i="4" s="1"/>
  <c r="G553" i="3"/>
  <c r="H49" i="4" s="1"/>
  <c r="G55" i="4"/>
  <c r="G625" i="3"/>
  <c r="H55" i="4" s="1"/>
  <c r="G35" i="4"/>
  <c r="G385" i="3"/>
  <c r="H35" i="4" s="1"/>
  <c r="G16" i="4"/>
  <c r="G157" i="3"/>
  <c r="H16" i="4" s="1"/>
  <c r="G17" i="4"/>
  <c r="G169" i="3"/>
  <c r="H17" i="4" s="1"/>
  <c r="G42" i="4"/>
  <c r="G469" i="3"/>
  <c r="H42" i="4" s="1"/>
  <c r="G12" i="4"/>
  <c r="G109" i="3"/>
  <c r="H12" i="4" s="1"/>
  <c r="G43" i="4"/>
  <c r="G481" i="3"/>
  <c r="H43" i="4" s="1"/>
  <c r="G28" i="4"/>
  <c r="G301" i="3"/>
  <c r="H28" i="4" s="1"/>
  <c r="G25" i="4"/>
  <c r="G265" i="3"/>
  <c r="H25" i="4" s="1"/>
  <c r="G23" i="4"/>
  <c r="G241" i="3"/>
  <c r="H23" i="4" s="1"/>
  <c r="G32" i="4"/>
  <c r="G349" i="3"/>
  <c r="H32" i="4" s="1"/>
  <c r="G36" i="4"/>
  <c r="G397" i="3"/>
  <c r="H36" i="4" s="1"/>
  <c r="G9" i="4"/>
  <c r="G73" i="3"/>
  <c r="H9" i="4" s="1"/>
  <c r="G50" i="4"/>
  <c r="G565" i="3"/>
  <c r="H50" i="4" s="1"/>
  <c r="G19" i="4"/>
  <c r="G193" i="3"/>
  <c r="H19" i="4" s="1"/>
  <c r="G54" i="4"/>
  <c r="G613" i="3"/>
  <c r="H54" i="4" s="1"/>
  <c r="G48" i="4"/>
  <c r="G541" i="3"/>
  <c r="H48" i="4" s="1"/>
  <c r="G30" i="4"/>
  <c r="G325" i="3"/>
  <c r="H30" i="4" s="1"/>
  <c r="G29" i="4"/>
  <c r="G313" i="3"/>
  <c r="H29" i="4" s="1"/>
  <c r="G6" i="4"/>
  <c r="G37" i="3"/>
  <c r="H6" i="4" s="1"/>
  <c r="G13" i="4"/>
  <c r="G121" i="3"/>
  <c r="H13" i="4" s="1"/>
  <c r="B69" i="4" l="1"/>
  <c r="C69" i="4"/>
  <c r="F65" i="4"/>
  <c r="D69" i="4"/>
  <c r="E69" i="4"/>
  <c r="G69" i="4" l="1"/>
  <c r="D70" i="4" s="1"/>
  <c r="E70" i="4" l="1"/>
  <c r="B70" i="4"/>
  <c r="C70" i="4"/>
  <c r="B71" i="4" l="1"/>
  <c r="H11" i="5"/>
  <c r="H13" i="5"/>
  <c r="H10" i="5"/>
  <c r="H5" i="5"/>
  <c r="H14" i="5"/>
  <c r="H8" i="5"/>
  <c r="H7" i="5"/>
  <c r="H6" i="5"/>
  <c r="H9" i="5"/>
  <c r="H12" i="5"/>
  <c r="K12" i="5" l="1"/>
  <c r="I12" i="5"/>
  <c r="K9" i="5"/>
  <c r="I9" i="5"/>
  <c r="K6" i="5"/>
  <c r="I6" i="5"/>
  <c r="K7" i="5"/>
  <c r="I7" i="5"/>
  <c r="K8" i="5"/>
  <c r="I8" i="5"/>
  <c r="K14" i="5"/>
  <c r="I14" i="5"/>
  <c r="I5" i="5"/>
  <c r="K5" i="5"/>
  <c r="K10" i="5"/>
  <c r="I10" i="5"/>
  <c r="I13" i="5"/>
  <c r="K13" i="5"/>
  <c r="I11" i="5"/>
  <c r="K11" i="5"/>
</calcChain>
</file>

<file path=xl/sharedStrings.xml><?xml version="1.0" encoding="utf-8"?>
<sst xmlns="http://schemas.openxmlformats.org/spreadsheetml/2006/main" count="1236" uniqueCount="221">
  <si>
    <t>PETUNJUK PENGGUNAAN — ANALISIS AHP (SKALA 1-5) PEMBOBOTAN PSPI</t>
  </si>
  <si>
    <t>TUJUAN FILE INI</t>
  </si>
  <si>
    <t>Workbook ini menghitung bobot AHP (skala Saaty 1-5) untuk 4 dimensi Port Service Performance Index (PSPI):</t>
  </si>
  <si>
    <t xml:space="preserve">  - CI  = Compliance (Kepatuhan SLA)</t>
  </si>
  <si>
    <t xml:space="preserve">  - EI  = Efficiency (Efisiensi)</t>
  </si>
  <si>
    <t xml:space="preserve">  - CsI = Consistency (Konsistensi)</t>
  </si>
  <si>
    <t xml:space="preserve">  - RI  = Robustness (Ketahanan)</t>
  </si>
  <si>
    <t>URUTAN PENGGUNAAN</t>
  </si>
  <si>
    <t>1. Buka sheet 'Input Responden'. Salin jawaban dari Google Forms (setelah dikonversi ke angka bertanda -5..5</t>
  </si>
  <si>
    <t xml:space="preserve">   sesuai tabel konversi pada dokumen kuesioner) ke sel BERWARNA KUNING pada sheet tersebut.</t>
  </si>
  <si>
    <t>2. Buka sheet 'Perhitungan Detail' untuk melihat matriks perbandingan berpasangan, bobot, Lambda Max,</t>
  </si>
  <si>
    <t xml:space="preserve">   Consistency Index (CI_AHP), dan Consistency Ratio (CR) per responden — semua terhitung otomatis.</t>
  </si>
  <si>
    <t>3. Buka sheet 'Rekap Bobot Akhir' untuk melihat ringkasan seluruh responden dan bobot gabungan akhir</t>
  </si>
  <si>
    <t xml:space="preserve">   (hanya responden dengan CR &lt;= 0.10 yang diikutsertakan dalam agregasi).</t>
  </si>
  <si>
    <t>4. Buka sheet 'Simulasi PI' untuk melihat contoh penerapan bobot akhir terhadap data kinerja pelabuhan,</t>
  </si>
  <si>
    <t xml:space="preserve">   dibandingkan dengan model bobot sama rata (equal weighting 0.25).</t>
  </si>
  <si>
    <t>KETERANGAN WARNA SEL</t>
  </si>
  <si>
    <t xml:space="preserve">  - Kuning  : sel input manual (boleh/harus diisi/diubah oleh pengguna)</t>
  </si>
  <si>
    <t xml:space="preserve">  - Hijau   : hasil akhir/kesimpulan penting</t>
  </si>
  <si>
    <t xml:space="preserve">  - Oranye  : peringatan (mis. CR melebihi ambang batas 0.10)</t>
  </si>
  <si>
    <t xml:space="preserve">  - Putih/abu: rumus otomatis, JANGAN diubah manual</t>
  </si>
  <si>
    <t>KONVENSI NILAI INPUT (Sheet 'Input Responden')</t>
  </si>
  <si>
    <t>Untuk setiap pasangan kriteria (contoh: CI vs EI), masukkan SATU angka dari daftar berikut:</t>
  </si>
  <si>
    <t xml:space="preserve">   5  = Kriteria PERTAMA (kiri) SANGAT lebih penting dari kriteria KEDUA (kanan)</t>
  </si>
  <si>
    <t xml:space="preserve">   4  = Kriteria PERTAMA lebih penting</t>
  </si>
  <si>
    <t xml:space="preserve">   3  = Kriteria PERTAMA cukup lebih penting</t>
  </si>
  <si>
    <t xml:space="preserve">   2  = Kriteria PERTAMA sedikit lebih penting</t>
  </si>
  <si>
    <t xml:space="preserve">   1  = Sama penting</t>
  </si>
  <si>
    <t xml:space="preserve">  -2  = Kriteria KEDUA sedikit lebih penting</t>
  </si>
  <si>
    <t xml:space="preserve">  -3  = Kriteria KEDUA cukup lebih penting</t>
  </si>
  <si>
    <t xml:space="preserve">  -4  = Kriteria KEDUA lebih penting</t>
  </si>
  <si>
    <t xml:space="preserve">  -5  = Kriteria KEDUA SANGAT lebih penting</t>
  </si>
  <si>
    <t>Kolom 'Kriteria PERTAMA' dan 'KEDUA' untuk tiap pasangan (urutan tetap, jangan dibalik):</t>
  </si>
  <si>
    <t xml:space="preserve">   Pasangan 1: CI (pertama)  vs EI (kedua)</t>
  </si>
  <si>
    <t xml:space="preserve">   Pasangan 2: CI (pertama)  vs CsI (kedua)</t>
  </si>
  <si>
    <t xml:space="preserve">   Pasangan 3: CI (pertama)  vs RI (kedua)</t>
  </si>
  <si>
    <t xml:space="preserve">   Pasangan 4: EI (pertama)  vs CsI (kedua)</t>
  </si>
  <si>
    <t xml:space="preserve">   Pasangan 5: EI (pertama)  vs RI (kedua)</t>
  </si>
  <si>
    <t xml:space="preserve">   Pasangan 6: CsI (pertama) vs RI (kedua)</t>
  </si>
  <si>
    <t>ATURAN PENERIMAAN KONSISTENSI (Consistency Ratio / CR)</t>
  </si>
  <si>
    <t xml:space="preserve">  CR &lt;= 0.10  -&gt; Konsisten, bobot responden tersebut dipakai dalam agregasi akhir</t>
  </si>
  <si>
    <t xml:space="preserve">  CR &gt; 0.10   -&gt; Tidak konsisten, sebaiknya responden diminta mengisi ulang; sistem otomatis</t>
  </si>
  <si>
    <t xml:space="preserve">                 MENGECUALIKAN responden ini dari perhitungan Rekap Bobot Akhir</t>
  </si>
  <si>
    <t>Kapasitas file ini: mendukung hingga 60 responden. Baris tambahan dapat disalin (copy-format-down) jika</t>
  </si>
  <si>
    <t>responden lebih dari 10, namun perlu perluasan manual pada sheet 'Perhitungan Detail' dan 'Rekap Bobot Akhir'.</t>
  </si>
  <si>
    <t>INPUT DATA RESPONDEN — PERBANDINGAN BERPASANGAN (SKALA -5 s.d 5, TANPA 0)</t>
  </si>
  <si>
    <t>No</t>
  </si>
  <si>
    <t>Nama Responden</t>
  </si>
  <si>
    <t>Institusi/Peran</t>
  </si>
  <si>
    <t>CI vs EI</t>
  </si>
  <si>
    <t>CI vs CsI</t>
  </si>
  <si>
    <t>CI vs RI</t>
  </si>
  <si>
    <t>EI vs CsI</t>
  </si>
  <si>
    <t>EI vs RI</t>
  </si>
  <si>
    <t>CsI vs RI</t>
  </si>
  <si>
    <t>Catatan: Baris 4 berisi CONTOH ilustratif — hapus/ganti dengan data responden sesungguhnya. Lihat sheet 'Petunjuk' untuk arti nilai -5 s.d 5.</t>
  </si>
  <si>
    <t>PERHITUNGAN DETAIL AHP PER RESPONDEN (Matriks, Bobot, Lambda Max, CI_AHP, CR)</t>
  </si>
  <si>
    <t>RESPONDEN 1:</t>
  </si>
  <si>
    <t>CI</t>
  </si>
  <si>
    <t>EI</t>
  </si>
  <si>
    <t>CsI</t>
  </si>
  <si>
    <t>RI</t>
  </si>
  <si>
    <t>Bobot (w)</t>
  </si>
  <si>
    <t>A.w</t>
  </si>
  <si>
    <t>(A.w)/w</t>
  </si>
  <si>
    <t>Jumlah Kolom</t>
  </si>
  <si>
    <t>Lambda Max</t>
  </si>
  <si>
    <t>Consistency Index (CI_AHP)</t>
  </si>
  <si>
    <t>Consistency Ratio (CR)  [RI tabel n=4: 0.90]</t>
  </si>
  <si>
    <t>Keterangan</t>
  </si>
  <si>
    <t>RESPONDEN 2:</t>
  </si>
  <si>
    <t>RESPONDEN 3:</t>
  </si>
  <si>
    <t>RESPONDEN 4:</t>
  </si>
  <si>
    <t>RESPONDEN 5:</t>
  </si>
  <si>
    <t>RESPONDEN 6:</t>
  </si>
  <si>
    <t>RESPONDEN 7:</t>
  </si>
  <si>
    <t>RESPONDEN 8:</t>
  </si>
  <si>
    <t>RESPONDEN 9:</t>
  </si>
  <si>
    <t>RESPONDEN 10:</t>
  </si>
  <si>
    <t>RESPONDEN 11:</t>
  </si>
  <si>
    <t>RESPONDEN 12:</t>
  </si>
  <si>
    <t>RESPONDEN 13:</t>
  </si>
  <si>
    <t>RESPONDEN 14:</t>
  </si>
  <si>
    <t>RESPONDEN 15:</t>
  </si>
  <si>
    <t>RESPONDEN 16:</t>
  </si>
  <si>
    <t>RESPONDEN 17:</t>
  </si>
  <si>
    <t>RESPONDEN 18:</t>
  </si>
  <si>
    <t>RESPONDEN 19:</t>
  </si>
  <si>
    <t>RESPONDEN 20:</t>
  </si>
  <si>
    <t>RESPONDEN 21:</t>
  </si>
  <si>
    <t>RESPONDEN 22:</t>
  </si>
  <si>
    <t>RESPONDEN 23:</t>
  </si>
  <si>
    <t>RESPONDEN 24:</t>
  </si>
  <si>
    <t>RESPONDEN 25:</t>
  </si>
  <si>
    <t>RESPONDEN 26:</t>
  </si>
  <si>
    <t>RESPONDEN 27:</t>
  </si>
  <si>
    <t>RESPONDEN 28:</t>
  </si>
  <si>
    <t>RESPONDEN 29:</t>
  </si>
  <si>
    <t>RESPONDEN 30:</t>
  </si>
  <si>
    <t>RESPONDEN 31:</t>
  </si>
  <si>
    <t>RESPONDEN 32:</t>
  </si>
  <si>
    <t>RESPONDEN 33:</t>
  </si>
  <si>
    <t>RESPONDEN 34:</t>
  </si>
  <si>
    <t>RESPONDEN 35:</t>
  </si>
  <si>
    <t>RESPONDEN 36:</t>
  </si>
  <si>
    <t>RESPONDEN 37:</t>
  </si>
  <si>
    <t>RESPONDEN 38:</t>
  </si>
  <si>
    <t>RESPONDEN 39:</t>
  </si>
  <si>
    <t>RESPONDEN 40:</t>
  </si>
  <si>
    <t>RESPONDEN 41:</t>
  </si>
  <si>
    <t>RESPONDEN 42:</t>
  </si>
  <si>
    <t>RESPONDEN 43:</t>
  </si>
  <si>
    <t>RESPONDEN 44:</t>
  </si>
  <si>
    <t>RESPONDEN 45:</t>
  </si>
  <si>
    <t>RESPONDEN 46:</t>
  </si>
  <si>
    <t>RESPONDEN 47:</t>
  </si>
  <si>
    <t>RESPONDEN 48:</t>
  </si>
  <si>
    <t>RESPONDEN 49:</t>
  </si>
  <si>
    <t>RESPONDEN 50:</t>
  </si>
  <si>
    <t>RESPONDEN 51:</t>
  </si>
  <si>
    <t>RESPONDEN 52:</t>
  </si>
  <si>
    <t>RESPONDEN 53:</t>
  </si>
  <si>
    <t>RESPONDEN 54:</t>
  </si>
  <si>
    <t>RESPONDEN 55:</t>
  </si>
  <si>
    <t>RESPONDEN 56:</t>
  </si>
  <si>
    <t>RESPONDEN 57:</t>
  </si>
  <si>
    <t>RESPONDEN 58:</t>
  </si>
  <si>
    <t>RESPONDEN 59:</t>
  </si>
  <si>
    <t>RESPONDEN 60:</t>
  </si>
  <si>
    <t>REKAP BOBOT SELURUH RESPONDEN DAN BOBOT AKHIR (AGREGASI)</t>
  </si>
  <si>
    <t>w_CI</t>
  </si>
  <si>
    <t>w_EI</t>
  </si>
  <si>
    <t>w_CsI</t>
  </si>
  <si>
    <t>w_RI</t>
  </si>
  <si>
    <t>CR</t>
  </si>
  <si>
    <t>Jumlah Responden Valid (CR&lt;=0.10):</t>
  </si>
  <si>
    <t>BOBOT AKHIR (Rata-rata Geometrik, hanya responden Konsisten)</t>
  </si>
  <si>
    <t>Rata-rata Geometrik (belum dinormalisasi)</t>
  </si>
  <si>
    <t>BOBOT AKHIR (dinormalisasi, total = 1)</t>
  </si>
  <si>
    <t>Cek total bobot (harus = 1.0000):</t>
  </si>
  <si>
    <t>Catatan: Jika seluruh baris responden belum diisi (kosong), sel di atas akan menampilkan error atau 0 — ini normal sebelum data dimasukkan di sheet 'Input Responden'. Bobot akhir ini otomatis dipakai di sheet 'Simulasi PI'.</t>
  </si>
  <si>
    <t>SIMULASI PENERAPAN BOBOT AKHIR TERHADAP DATA KINERJA PELABUHAN (CONTOH)</t>
  </si>
  <si>
    <t>Data contoh di bawah diambil dari Tabel 6 &amp; 7 draf paper (skor sudah ternormalisasi 0-1 per dimensi). Ganti/tambahkan baris sesuai data 259 pelabuhan yang sesungguhnya untuk analisis penuh.</t>
  </si>
  <si>
    <t>Pelabuhan</t>
  </si>
  <si>
    <t>Volume</t>
  </si>
  <si>
    <t>PI Equal (0.25 tiap dimensi)</t>
  </si>
  <si>
    <t>PI Bobot AHP</t>
  </si>
  <si>
    <t>Selisih (AHP - Equal)</t>
  </si>
  <si>
    <t>Kategori (Equal)</t>
  </si>
  <si>
    <t>Kategori (AHP, ilustratif)</t>
  </si>
  <si>
    <t>NABIRE</t>
  </si>
  <si>
    <t>TG. SARANG ELANG</t>
  </si>
  <si>
    <t>BAWEAN</t>
  </si>
  <si>
    <t>INDRAMAYU</t>
  </si>
  <si>
    <t>MANGGAR</t>
  </si>
  <si>
    <t>SATUI</t>
  </si>
  <si>
    <t>PANGKAL BALAM, BANGKA</t>
  </si>
  <si>
    <t>PADANG BAI</t>
  </si>
  <si>
    <t>MOLAWE</t>
  </si>
  <si>
    <t>KUALA SEMBOJA</t>
  </si>
  <si>
    <t>Catatan: Kolom Kategori di atas HANYA ilustrasi biner (tinggi/rendah terhadap ambang 0.5), bukan klasifikasi kuadran penuh (yang memerlukan median Volume &amp; PI dari seluruh 259 pelabuhan). Untuk analisis kuadran lengkap, terapkan bobot akhir dari sheet 'Rekap Bobot Akhir' ke seluruh dataset asli lalu ulangi prosedur median-threshold seperti pada paper (Bagian 2c).</t>
  </si>
  <si>
    <t>Verina</t>
  </si>
  <si>
    <t>Agung Ginansah</t>
  </si>
  <si>
    <t>Andi</t>
  </si>
  <si>
    <t>Sarwo edi Wibowo</t>
  </si>
  <si>
    <t>Firman Ainur Rasyit</t>
  </si>
  <si>
    <t>Deny</t>
  </si>
  <si>
    <t>Eko Sukamto</t>
  </si>
  <si>
    <t>FERI HARIYANTO</t>
  </si>
  <si>
    <t>Glanny Sosbeldab Tatali</t>
  </si>
  <si>
    <t xml:space="preserve">Luthfi Setyawan </t>
  </si>
  <si>
    <t xml:space="preserve">Satrio Dwi Nugroho </t>
  </si>
  <si>
    <t>Alvaro Walewangko</t>
  </si>
  <si>
    <t>Aditya mulyanto</t>
  </si>
  <si>
    <t xml:space="preserve">RIKKI APRIANTO SADIA </t>
  </si>
  <si>
    <t xml:space="preserve">MUH.YUSUF KALLA </t>
  </si>
  <si>
    <t>MUH HUSAIN FAUZAN</t>
  </si>
  <si>
    <t xml:space="preserve">ROKI SAPUTRA </t>
  </si>
  <si>
    <t>Dimas</t>
  </si>
  <si>
    <t>Fandi</t>
  </si>
  <si>
    <t xml:space="preserve">ACHMAD SHOLEH </t>
  </si>
  <si>
    <t>Sulaeman</t>
  </si>
  <si>
    <t xml:space="preserve">Suharyadih </t>
  </si>
  <si>
    <t xml:space="preserve">Iksan sanjaya </t>
  </si>
  <si>
    <t>Tri Candra</t>
  </si>
  <si>
    <t>Taufan IM</t>
  </si>
  <si>
    <t>Nurdin</t>
  </si>
  <si>
    <t>Agus Setia</t>
  </si>
  <si>
    <t xml:space="preserve">Iskandar Y Taroka </t>
  </si>
  <si>
    <t>Firdaus Dwi Marta Al Mansur</t>
  </si>
  <si>
    <t>KADEK GHUSTY RAMAYANA, A.Md.Tra</t>
  </si>
  <si>
    <t>Faisal Fadhiil</t>
  </si>
  <si>
    <t>Akbar</t>
  </si>
  <si>
    <t>BAGUS MAULANA</t>
  </si>
  <si>
    <t>Sulaksono prasetyo</t>
  </si>
  <si>
    <t>Eko</t>
  </si>
  <si>
    <t>TRENDI NUGROHO</t>
  </si>
  <si>
    <t xml:space="preserve">YOVIKA FIRMANSYAH </t>
  </si>
  <si>
    <t>irwan budi</t>
  </si>
  <si>
    <t>GINANJAR H. R.</t>
  </si>
  <si>
    <t xml:space="preserve">MISTUR ROHIM </t>
  </si>
  <si>
    <t>IQBAL HIKMI</t>
  </si>
  <si>
    <t>SLAMET HADI PURNOMO</t>
  </si>
  <si>
    <t>Muhamad Afandli</t>
  </si>
  <si>
    <t>Muh Fajriansyah</t>
  </si>
  <si>
    <t>AHMAD YANI FAHMI FIRDAUS</t>
  </si>
  <si>
    <t>ANDI GUNAWAN</t>
  </si>
  <si>
    <t xml:space="preserve">PT.AKASYAH KARYA SAMUDRA </t>
  </si>
  <si>
    <t>Faris</t>
  </si>
  <si>
    <t xml:space="preserve">WAHYU </t>
  </si>
  <si>
    <t>Supandi</t>
  </si>
  <si>
    <t>DEDE TAMA</t>
  </si>
  <si>
    <t xml:space="preserve">Indra </t>
  </si>
  <si>
    <t>Nanda stefanny</t>
  </si>
  <si>
    <t>Hendik mahmudi</t>
  </si>
  <si>
    <t>Operator/Petugas Otoritas Pelabuhan</t>
  </si>
  <si>
    <t>Pengguna jasa (perusahaan pelayaran/keagenan kapal)</t>
  </si>
  <si>
    <t>Regulator/Pembuat kebijakan (Kementerian Perhubungan/DJPL)</t>
  </si>
  <si>
    <t>AGENT</t>
  </si>
  <si>
    <t>Setelah konversi</t>
  </si>
  <si>
    <t>Sebelum konversi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</si>
</sst>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"/>
    <numFmt numFmtId="165" formatCode="0.0000"/>
  </numFmts>
  <fonts count="14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sz val="10"/>
      <name val="Arial"/>
      <charset val="1"/>
    </font>
    <font>
      <b/>
      <sz val="11"/>
      <color rgb="FF1F4E78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i/>
      <sz val="9"/>
      <color rgb="FF7F7F7F"/>
      <name val="Arial"/>
      <charset val="1"/>
    </font>
    <font>
      <b/>
      <sz val="10"/>
      <name val="Arial"/>
      <charset val="1"/>
    </font>
    <font>
      <i/>
      <sz val="10"/>
      <name val="Arial"/>
      <charset val="1"/>
    </font>
    <font>
      <b/>
      <sz val="11"/>
      <name val="Arial"/>
      <charset val="1"/>
    </font>
    <font>
      <sz val="10"/>
      <color rgb="FF000000"/>
      <name val="Calibri"/>
      <scheme val="minor"/>
    </font>
    <font>
      <sz val="10"/>
      <color theme="1"/>
      <name val="Calibri"/>
      <scheme val="minor"/>
    </font>
    <font>
      <b/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FFF99"/>
        <bgColor rgb="FFFFFFCC"/>
      </patternFill>
    </fill>
    <fill>
      <patternFill patternType="solid">
        <fgColor rgb="FFD9E1F2"/>
        <bgColor rgb="FFE2EFDA"/>
      </patternFill>
    </fill>
    <fill>
      <patternFill patternType="solid">
        <fgColor rgb="FFE2EFDA"/>
        <bgColor rgb="FFD9E1F2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 style="thin">
        <color rgb="FFB7B7B7"/>
      </bottom>
      <diagonal/>
    </border>
  </borders>
  <cellStyleXfs count="2">
    <xf numFmtId="0" fontId="0" fillId="0" borderId="0"/>
    <xf numFmtId="0" fontId="11" fillId="0" borderId="0"/>
  </cellStyleXfs>
  <cellXfs count="33">
    <xf numFmtId="0" fontId="0" fillId="0" borderId="0" xfId="0"/>
    <xf numFmtId="0" fontId="8" fillId="0" borderId="1" xfId="0" applyFont="1" applyBorder="1"/>
    <xf numFmtId="0" fontId="1" fillId="2" borderId="0" xfId="0" applyFont="1" applyFill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4" borderId="1" xfId="0" applyFont="1" applyFill="1" applyBorder="1"/>
    <xf numFmtId="0" fontId="6" fillId="4" borderId="1" xfId="0" applyFont="1" applyFill="1" applyBorder="1" applyAlignment="1">
      <alignment horizontal="center" vertical="center" wrapText="1"/>
    </xf>
    <xf numFmtId="0" fontId="8" fillId="0" borderId="0" xfId="0" applyFont="1"/>
    <xf numFmtId="0" fontId="8" fillId="5" borderId="1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/>
    <xf numFmtId="165" fontId="5" fillId="6" borderId="1" xfId="0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165" fontId="7" fillId="0" borderId="1" xfId="0" applyNumberFormat="1" applyFont="1" applyBorder="1" applyAlignment="1">
      <alignment horizontal="center" vertical="center" wrapText="1"/>
    </xf>
    <xf numFmtId="165" fontId="10" fillId="6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/>
    <xf numFmtId="0" fontId="6" fillId="4" borderId="1" xfId="0" applyFont="1" applyFill="1" applyBorder="1" applyAlignment="1">
      <alignment horizontal="left"/>
    </xf>
    <xf numFmtId="0" fontId="12" fillId="0" borderId="0" xfId="1" applyFont="1" applyAlignment="1">
      <alignment vertical="center"/>
    </xf>
    <xf numFmtId="0" fontId="0" fillId="7" borderId="0" xfId="0" applyFill="1"/>
    <xf numFmtId="0" fontId="1" fillId="2" borderId="0" xfId="0" applyFont="1" applyFill="1" applyAlignment="1">
      <alignment horizontal="center" vertical="center" wrapText="1"/>
    </xf>
    <xf numFmtId="0" fontId="8" fillId="0" borderId="2" xfId="0" applyFont="1" applyBorder="1"/>
    <xf numFmtId="0" fontId="3" fillId="0" borderId="2" xfId="0" applyFont="1" applyBorder="1"/>
    <xf numFmtId="0" fontId="7" fillId="0" borderId="0" xfId="0" applyFont="1"/>
    <xf numFmtId="0" fontId="13" fillId="0" borderId="5" xfId="0" applyFont="1" applyBorder="1" applyAlignment="1">
      <alignment horizontal="center"/>
    </xf>
    <xf numFmtId="0" fontId="9" fillId="0" borderId="0" xfId="0" applyFont="1"/>
    <xf numFmtId="0" fontId="8" fillId="0" borderId="1" xfId="0" applyFont="1" applyBorder="1"/>
    <xf numFmtId="0" fontId="9" fillId="0" borderId="5" xfId="0" applyFont="1" applyBorder="1"/>
    <xf numFmtId="0" fontId="8" fillId="0" borderId="3" xfId="0" applyFont="1" applyBorder="1"/>
    <xf numFmtId="0" fontId="8" fillId="0" borderId="4" xfId="0" applyFont="1" applyBorder="1"/>
  </cellXfs>
  <cellStyles count="2">
    <cellStyle name="Normal" xfId="0" builtinId="0"/>
    <cellStyle name="Normal 2" xfId="1" xr:uid="{2F7CE839-035F-42C5-97E7-B1A6788C0514}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2" defaultPivotStyle="PivotStyleLight16">
    <tableStyle name="Form Responses 1-style" pivot="0" count="4" xr9:uid="{2B43771B-11D6-4FB4-BBFE-DBB12EDDF169}">
      <tableStyleElement type="wholeTable" size="0" dxfId="3"/>
      <tableStyleElement type="headerRow" dxfId="2"/>
      <tableStyleElement type="firstRowStripe" dxfId="1"/>
      <tableStyleElement type="secondRowStripe" dxfId="0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2"/>
  <sheetViews>
    <sheetView showGridLines="0" topLeftCell="A15" zoomScaleNormal="100" workbookViewId="0">
      <selection activeCell="A41" sqref="A41"/>
    </sheetView>
  </sheetViews>
  <sheetFormatPr defaultColWidth="8.6640625" defaultRowHeight="14.4" x14ac:dyDescent="0.3"/>
  <cols>
    <col min="1" max="1" width="110" customWidth="1"/>
  </cols>
  <sheetData>
    <row r="1" spans="1:1" ht="27.75" customHeight="1" x14ac:dyDescent="0.3">
      <c r="A1" s="2" t="s">
        <v>0</v>
      </c>
    </row>
    <row r="2" spans="1:1" x14ac:dyDescent="0.3">
      <c r="A2" s="3"/>
    </row>
    <row r="3" spans="1:1" x14ac:dyDescent="0.3">
      <c r="A3" s="4" t="s">
        <v>1</v>
      </c>
    </row>
    <row r="4" spans="1:1" x14ac:dyDescent="0.3">
      <c r="A4" s="3" t="s">
        <v>2</v>
      </c>
    </row>
    <row r="5" spans="1:1" x14ac:dyDescent="0.3">
      <c r="A5" s="3" t="s">
        <v>3</v>
      </c>
    </row>
    <row r="6" spans="1:1" x14ac:dyDescent="0.3">
      <c r="A6" s="3" t="s">
        <v>4</v>
      </c>
    </row>
    <row r="7" spans="1:1" x14ac:dyDescent="0.3">
      <c r="A7" s="3" t="s">
        <v>5</v>
      </c>
    </row>
    <row r="8" spans="1:1" x14ac:dyDescent="0.3">
      <c r="A8" s="3" t="s">
        <v>6</v>
      </c>
    </row>
    <row r="9" spans="1:1" x14ac:dyDescent="0.3">
      <c r="A9" s="3"/>
    </row>
    <row r="10" spans="1:1" x14ac:dyDescent="0.3">
      <c r="A10" s="4" t="s">
        <v>7</v>
      </c>
    </row>
    <row r="11" spans="1:1" x14ac:dyDescent="0.3">
      <c r="A11" s="3" t="s">
        <v>8</v>
      </c>
    </row>
    <row r="12" spans="1:1" x14ac:dyDescent="0.3">
      <c r="A12" s="3" t="s">
        <v>9</v>
      </c>
    </row>
    <row r="13" spans="1:1" x14ac:dyDescent="0.3">
      <c r="A13" s="3" t="s">
        <v>10</v>
      </c>
    </row>
    <row r="14" spans="1:1" x14ac:dyDescent="0.3">
      <c r="A14" s="3" t="s">
        <v>11</v>
      </c>
    </row>
    <row r="15" spans="1:1" x14ac:dyDescent="0.3">
      <c r="A15" s="3" t="s">
        <v>12</v>
      </c>
    </row>
    <row r="16" spans="1:1" x14ac:dyDescent="0.3">
      <c r="A16" s="3" t="s">
        <v>13</v>
      </c>
    </row>
    <row r="17" spans="1:1" x14ac:dyDescent="0.3">
      <c r="A17" s="3" t="s">
        <v>14</v>
      </c>
    </row>
    <row r="18" spans="1:1" x14ac:dyDescent="0.3">
      <c r="A18" s="3" t="s">
        <v>15</v>
      </c>
    </row>
    <row r="19" spans="1:1" x14ac:dyDescent="0.3">
      <c r="A19" s="3"/>
    </row>
    <row r="20" spans="1:1" x14ac:dyDescent="0.3">
      <c r="A20" s="4" t="s">
        <v>16</v>
      </c>
    </row>
    <row r="21" spans="1:1" x14ac:dyDescent="0.3">
      <c r="A21" s="3" t="s">
        <v>17</v>
      </c>
    </row>
    <row r="22" spans="1:1" x14ac:dyDescent="0.3">
      <c r="A22" s="3" t="s">
        <v>18</v>
      </c>
    </row>
    <row r="23" spans="1:1" x14ac:dyDescent="0.3">
      <c r="A23" s="3" t="s">
        <v>19</v>
      </c>
    </row>
    <row r="24" spans="1:1" x14ac:dyDescent="0.3">
      <c r="A24" s="3" t="s">
        <v>20</v>
      </c>
    </row>
    <row r="25" spans="1:1" x14ac:dyDescent="0.3">
      <c r="A25" s="3"/>
    </row>
    <row r="26" spans="1:1" x14ac:dyDescent="0.3">
      <c r="A26" s="4" t="s">
        <v>21</v>
      </c>
    </row>
    <row r="27" spans="1:1" x14ac:dyDescent="0.3">
      <c r="A27" s="3" t="s">
        <v>22</v>
      </c>
    </row>
    <row r="28" spans="1:1" x14ac:dyDescent="0.3">
      <c r="A28" s="3" t="s">
        <v>23</v>
      </c>
    </row>
    <row r="29" spans="1:1" x14ac:dyDescent="0.3">
      <c r="A29" s="3" t="s">
        <v>24</v>
      </c>
    </row>
    <row r="30" spans="1:1" x14ac:dyDescent="0.3">
      <c r="A30" s="3" t="s">
        <v>25</v>
      </c>
    </row>
    <row r="31" spans="1:1" x14ac:dyDescent="0.3">
      <c r="A31" s="3" t="s">
        <v>26</v>
      </c>
    </row>
    <row r="32" spans="1:1" x14ac:dyDescent="0.3">
      <c r="A32" s="3" t="s">
        <v>27</v>
      </c>
    </row>
    <row r="33" spans="1:1" x14ac:dyDescent="0.3">
      <c r="A33" s="3" t="s">
        <v>28</v>
      </c>
    </row>
    <row r="34" spans="1:1" x14ac:dyDescent="0.3">
      <c r="A34" s="3" t="s">
        <v>29</v>
      </c>
    </row>
    <row r="35" spans="1:1" x14ac:dyDescent="0.3">
      <c r="A35" s="3" t="s">
        <v>30</v>
      </c>
    </row>
    <row r="36" spans="1:1" x14ac:dyDescent="0.3">
      <c r="A36" s="3" t="s">
        <v>31</v>
      </c>
    </row>
    <row r="37" spans="1:1" x14ac:dyDescent="0.3">
      <c r="A37" s="3"/>
    </row>
    <row r="38" spans="1:1" x14ac:dyDescent="0.3">
      <c r="A38" s="3" t="s">
        <v>32</v>
      </c>
    </row>
    <row r="39" spans="1:1" x14ac:dyDescent="0.3">
      <c r="A39" s="3" t="s">
        <v>33</v>
      </c>
    </row>
    <row r="40" spans="1:1" x14ac:dyDescent="0.3">
      <c r="A40" s="3" t="s">
        <v>34</v>
      </c>
    </row>
    <row r="41" spans="1:1" x14ac:dyDescent="0.3">
      <c r="A41" s="3" t="s">
        <v>35</v>
      </c>
    </row>
    <row r="42" spans="1:1" x14ac:dyDescent="0.3">
      <c r="A42" s="3" t="s">
        <v>36</v>
      </c>
    </row>
    <row r="43" spans="1:1" x14ac:dyDescent="0.3">
      <c r="A43" s="3" t="s">
        <v>37</v>
      </c>
    </row>
    <row r="44" spans="1:1" x14ac:dyDescent="0.3">
      <c r="A44" s="3" t="s">
        <v>38</v>
      </c>
    </row>
    <row r="45" spans="1:1" x14ac:dyDescent="0.3">
      <c r="A45" s="3"/>
    </row>
    <row r="46" spans="1:1" x14ac:dyDescent="0.3">
      <c r="A46" s="4" t="s">
        <v>39</v>
      </c>
    </row>
    <row r="47" spans="1:1" x14ac:dyDescent="0.3">
      <c r="A47" s="3" t="s">
        <v>40</v>
      </c>
    </row>
    <row r="48" spans="1:1" x14ac:dyDescent="0.3">
      <c r="A48" s="3" t="s">
        <v>41</v>
      </c>
    </row>
    <row r="49" spans="1:1" x14ac:dyDescent="0.3">
      <c r="A49" s="3" t="s">
        <v>42</v>
      </c>
    </row>
    <row r="50" spans="1:1" x14ac:dyDescent="0.3">
      <c r="A50" s="3"/>
    </row>
    <row r="51" spans="1:1" x14ac:dyDescent="0.3">
      <c r="A51" s="3" t="s">
        <v>43</v>
      </c>
    </row>
    <row r="52" spans="1:1" x14ac:dyDescent="0.3">
      <c r="A52" s="3" t="s">
        <v>44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5"/>
  <sheetViews>
    <sheetView showGridLines="0" zoomScaleNormal="100" workbookViewId="0">
      <pane ySplit="3" topLeftCell="A44" activePane="bottomLeft" state="frozen"/>
      <selection pane="bottomLeft" activeCell="M51" sqref="M51"/>
    </sheetView>
  </sheetViews>
  <sheetFormatPr defaultColWidth="8.6640625" defaultRowHeight="14.4" x14ac:dyDescent="0.3"/>
  <cols>
    <col min="1" max="1" width="5" customWidth="1"/>
    <col min="2" max="2" width="22" customWidth="1"/>
    <col min="3" max="3" width="24" customWidth="1"/>
    <col min="4" max="9" width="10" customWidth="1"/>
  </cols>
  <sheetData>
    <row r="1" spans="1:16" ht="24" customHeight="1" x14ac:dyDescent="0.3">
      <c r="A1" s="23" t="s">
        <v>45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6" x14ac:dyDescent="0.3">
      <c r="D2" s="27" t="s">
        <v>219</v>
      </c>
      <c r="E2" s="27"/>
      <c r="F2" s="27"/>
      <c r="G2" s="27"/>
      <c r="H2" s="27"/>
      <c r="I2" s="27"/>
      <c r="K2" s="27" t="s">
        <v>220</v>
      </c>
      <c r="L2" s="27"/>
      <c r="M2" s="27"/>
      <c r="N2" s="27"/>
      <c r="O2" s="27"/>
      <c r="P2" s="27"/>
    </row>
    <row r="3" spans="1:16" ht="30" customHeight="1" x14ac:dyDescent="0.3">
      <c r="A3" s="5" t="s">
        <v>46</v>
      </c>
      <c r="B3" s="5" t="s">
        <v>47</v>
      </c>
      <c r="C3" s="5" t="s">
        <v>48</v>
      </c>
      <c r="D3" s="5" t="s">
        <v>49</v>
      </c>
      <c r="E3" s="5" t="s">
        <v>50</v>
      </c>
      <c r="F3" s="5" t="s">
        <v>51</v>
      </c>
      <c r="G3" s="5" t="s">
        <v>52</v>
      </c>
      <c r="H3" s="5" t="s">
        <v>53</v>
      </c>
      <c r="I3" s="5" t="s">
        <v>54</v>
      </c>
      <c r="K3" s="5" t="s">
        <v>49</v>
      </c>
      <c r="L3" s="5" t="s">
        <v>50</v>
      </c>
      <c r="M3" s="5" t="s">
        <v>51</v>
      </c>
      <c r="N3" s="5" t="s">
        <v>52</v>
      </c>
      <c r="O3" s="5" t="s">
        <v>53</v>
      </c>
      <c r="P3" s="5" t="s">
        <v>54</v>
      </c>
    </row>
    <row r="4" spans="1:16" x14ac:dyDescent="0.3">
      <c r="A4" s="6">
        <v>1</v>
      </c>
      <c r="B4" s="21" t="s">
        <v>161</v>
      </c>
      <c r="C4" s="21" t="s">
        <v>215</v>
      </c>
      <c r="D4" s="22">
        <f>IF(K4="","",IF(K4=5,1,IF(K4&lt;5,6-K4,-(K4-4))))</f>
        <v>1</v>
      </c>
      <c r="E4" s="22">
        <f t="shared" ref="E4:E57" si="0">IF(L4="","",IF(L4=5,1,IF(L4&lt;5,6-L4,-(L4-4))))</f>
        <v>1</v>
      </c>
      <c r="F4" s="22">
        <f t="shared" ref="F4:F57" si="1">IF(M4="","",IF(M4=5,1,IF(M4&lt;5,6-M4,-(M4-4))))</f>
        <v>4</v>
      </c>
      <c r="G4" s="22">
        <f t="shared" ref="G4:G57" si="2">IF(N4="","",IF(N4=5,1,IF(N4&lt;5,6-N4,-(N4-4))))</f>
        <v>1</v>
      </c>
      <c r="H4" s="22">
        <f t="shared" ref="H4:H57" si="3">IF(O4="","",IF(O4=5,1,IF(O4&lt;5,6-O4,-(O4-4))))</f>
        <v>4</v>
      </c>
      <c r="I4" s="22">
        <f t="shared" ref="I4:I57" si="4">IF(P4="","",IF(P4=5,1,IF(P4&lt;5,6-P4,-(P4-4))))</f>
        <v>1</v>
      </c>
      <c r="K4">
        <v>5</v>
      </c>
      <c r="L4">
        <v>5</v>
      </c>
      <c r="M4">
        <v>2</v>
      </c>
      <c r="N4">
        <v>5</v>
      </c>
      <c r="O4">
        <v>2</v>
      </c>
      <c r="P4">
        <v>5</v>
      </c>
    </row>
    <row r="5" spans="1:16" x14ac:dyDescent="0.3">
      <c r="A5" s="6">
        <v>2</v>
      </c>
      <c r="B5" s="21" t="s">
        <v>162</v>
      </c>
      <c r="C5" s="21" t="s">
        <v>216</v>
      </c>
      <c r="D5" s="22">
        <f t="shared" ref="D5:D57" si="5">IF(K5="","",IF(K5=5,1,IF(K5&lt;5,6-K5,-(K5-4))))</f>
        <v>-5</v>
      </c>
      <c r="E5" s="22">
        <f t="shared" si="0"/>
        <v>-5</v>
      </c>
      <c r="F5" s="22">
        <f t="shared" si="1"/>
        <v>1</v>
      </c>
      <c r="G5" s="22">
        <f t="shared" si="2"/>
        <v>-5</v>
      </c>
      <c r="H5" s="22">
        <f t="shared" si="3"/>
        <v>1</v>
      </c>
      <c r="I5" s="22">
        <f t="shared" si="4"/>
        <v>1</v>
      </c>
      <c r="K5">
        <v>9</v>
      </c>
      <c r="L5">
        <v>9</v>
      </c>
      <c r="M5">
        <v>5</v>
      </c>
      <c r="N5">
        <v>9</v>
      </c>
      <c r="O5">
        <v>5</v>
      </c>
      <c r="P5">
        <v>5</v>
      </c>
    </row>
    <row r="6" spans="1:16" x14ac:dyDescent="0.3">
      <c r="A6" s="6">
        <v>3</v>
      </c>
      <c r="B6" s="21" t="s">
        <v>163</v>
      </c>
      <c r="C6" s="21" t="s">
        <v>216</v>
      </c>
      <c r="D6" s="22">
        <f t="shared" si="5"/>
        <v>-4</v>
      </c>
      <c r="E6" s="22">
        <f t="shared" si="0"/>
        <v>-4</v>
      </c>
      <c r="F6" s="22">
        <f t="shared" si="1"/>
        <v>-4</v>
      </c>
      <c r="G6" s="22">
        <f t="shared" si="2"/>
        <v>-4</v>
      </c>
      <c r="H6" s="22">
        <f t="shared" si="3"/>
        <v>-4</v>
      </c>
      <c r="I6" s="22">
        <f t="shared" si="4"/>
        <v>-4</v>
      </c>
      <c r="K6">
        <v>8</v>
      </c>
      <c r="L6">
        <v>8</v>
      </c>
      <c r="M6">
        <v>8</v>
      </c>
      <c r="N6">
        <v>8</v>
      </c>
      <c r="O6">
        <v>8</v>
      </c>
      <c r="P6">
        <v>8</v>
      </c>
    </row>
    <row r="7" spans="1:16" x14ac:dyDescent="0.3">
      <c r="A7" s="6">
        <v>4</v>
      </c>
      <c r="B7" s="21" t="s">
        <v>164</v>
      </c>
      <c r="C7" s="21" t="s">
        <v>216</v>
      </c>
      <c r="D7" s="22">
        <f t="shared" si="5"/>
        <v>1</v>
      </c>
      <c r="E7" s="22">
        <f t="shared" si="0"/>
        <v>1</v>
      </c>
      <c r="F7" s="22">
        <f t="shared" si="1"/>
        <v>5</v>
      </c>
      <c r="G7" s="22">
        <f t="shared" si="2"/>
        <v>1</v>
      </c>
      <c r="H7" s="22">
        <f t="shared" si="3"/>
        <v>5</v>
      </c>
      <c r="I7" s="22">
        <f t="shared" si="4"/>
        <v>5</v>
      </c>
      <c r="K7">
        <v>5</v>
      </c>
      <c r="L7">
        <v>5</v>
      </c>
      <c r="M7">
        <v>1</v>
      </c>
      <c r="N7">
        <v>5</v>
      </c>
      <c r="O7">
        <v>1</v>
      </c>
      <c r="P7">
        <v>1</v>
      </c>
    </row>
    <row r="8" spans="1:16" x14ac:dyDescent="0.3">
      <c r="A8" s="6">
        <v>5</v>
      </c>
      <c r="B8" s="21" t="s">
        <v>165</v>
      </c>
      <c r="C8" s="21" t="s">
        <v>216</v>
      </c>
      <c r="D8" s="22">
        <f t="shared" si="5"/>
        <v>5</v>
      </c>
      <c r="E8" s="22">
        <f t="shared" si="0"/>
        <v>5</v>
      </c>
      <c r="F8" s="22">
        <f t="shared" si="1"/>
        <v>5</v>
      </c>
      <c r="G8" s="22">
        <f t="shared" si="2"/>
        <v>5</v>
      </c>
      <c r="H8" s="22">
        <f t="shared" si="3"/>
        <v>-5</v>
      </c>
      <c r="I8" s="22">
        <f t="shared" si="4"/>
        <v>1</v>
      </c>
      <c r="K8">
        <v>1</v>
      </c>
      <c r="L8">
        <v>1</v>
      </c>
      <c r="M8">
        <v>1</v>
      </c>
      <c r="N8">
        <v>1</v>
      </c>
      <c r="O8">
        <v>9</v>
      </c>
      <c r="P8">
        <v>5</v>
      </c>
    </row>
    <row r="9" spans="1:16" x14ac:dyDescent="0.3">
      <c r="A9" s="6">
        <v>6</v>
      </c>
      <c r="B9" s="21" t="s">
        <v>166</v>
      </c>
      <c r="C9" s="21" t="s">
        <v>216</v>
      </c>
      <c r="D9" s="22">
        <f t="shared" si="5"/>
        <v>1</v>
      </c>
      <c r="E9" s="22">
        <f t="shared" si="0"/>
        <v>-4</v>
      </c>
      <c r="F9" s="22">
        <f t="shared" si="1"/>
        <v>4</v>
      </c>
      <c r="G9" s="22">
        <f t="shared" si="2"/>
        <v>1</v>
      </c>
      <c r="H9" s="22">
        <f t="shared" si="3"/>
        <v>4</v>
      </c>
      <c r="I9" s="22">
        <f t="shared" si="4"/>
        <v>4</v>
      </c>
      <c r="K9">
        <v>5</v>
      </c>
      <c r="L9">
        <v>8</v>
      </c>
      <c r="M9">
        <v>2</v>
      </c>
      <c r="N9">
        <v>5</v>
      </c>
      <c r="O9">
        <v>2</v>
      </c>
      <c r="P9">
        <v>2</v>
      </c>
    </row>
    <row r="10" spans="1:16" x14ac:dyDescent="0.3">
      <c r="A10" s="6">
        <v>7</v>
      </c>
      <c r="B10" s="21" t="s">
        <v>167</v>
      </c>
      <c r="C10" s="21" t="s">
        <v>215</v>
      </c>
      <c r="D10" s="22">
        <f t="shared" si="5"/>
        <v>1</v>
      </c>
      <c r="E10" s="22">
        <f t="shared" si="0"/>
        <v>1</v>
      </c>
      <c r="F10" s="22">
        <f t="shared" si="1"/>
        <v>1</v>
      </c>
      <c r="G10" s="22">
        <f t="shared" si="2"/>
        <v>1</v>
      </c>
      <c r="H10" s="22">
        <f t="shared" si="3"/>
        <v>1</v>
      </c>
      <c r="I10" s="22">
        <f t="shared" si="4"/>
        <v>1</v>
      </c>
      <c r="K10">
        <v>5</v>
      </c>
      <c r="L10">
        <v>5</v>
      </c>
      <c r="M10">
        <v>5</v>
      </c>
      <c r="N10">
        <v>5</v>
      </c>
      <c r="O10">
        <v>5</v>
      </c>
      <c r="P10">
        <v>5</v>
      </c>
    </row>
    <row r="11" spans="1:16" x14ac:dyDescent="0.3">
      <c r="A11" s="6">
        <v>8</v>
      </c>
      <c r="B11" s="21" t="s">
        <v>168</v>
      </c>
      <c r="C11" s="21" t="s">
        <v>216</v>
      </c>
      <c r="D11" s="22">
        <f t="shared" si="5"/>
        <v>1</v>
      </c>
      <c r="E11" s="22">
        <f t="shared" si="0"/>
        <v>2</v>
      </c>
      <c r="F11" s="22">
        <f t="shared" si="1"/>
        <v>4</v>
      </c>
      <c r="G11" s="22">
        <f t="shared" si="2"/>
        <v>-2</v>
      </c>
      <c r="H11" s="22">
        <f t="shared" si="3"/>
        <v>1</v>
      </c>
      <c r="I11" s="22">
        <f t="shared" si="4"/>
        <v>2</v>
      </c>
      <c r="K11">
        <v>5</v>
      </c>
      <c r="L11">
        <v>4</v>
      </c>
      <c r="M11">
        <v>2</v>
      </c>
      <c r="N11">
        <v>6</v>
      </c>
      <c r="O11">
        <v>5</v>
      </c>
      <c r="P11">
        <v>4</v>
      </c>
    </row>
    <row r="12" spans="1:16" x14ac:dyDescent="0.3">
      <c r="A12" s="6">
        <v>9</v>
      </c>
      <c r="B12" s="21" t="s">
        <v>169</v>
      </c>
      <c r="C12" s="21" t="s">
        <v>215</v>
      </c>
      <c r="D12" s="22">
        <f t="shared" si="5"/>
        <v>1</v>
      </c>
      <c r="E12" s="22">
        <f t="shared" si="0"/>
        <v>1</v>
      </c>
      <c r="F12" s="22">
        <f t="shared" si="1"/>
        <v>1</v>
      </c>
      <c r="G12" s="22">
        <f t="shared" si="2"/>
        <v>1</v>
      </c>
      <c r="H12" s="22">
        <f t="shared" si="3"/>
        <v>5</v>
      </c>
      <c r="I12" s="22">
        <f t="shared" si="4"/>
        <v>5</v>
      </c>
      <c r="K12">
        <v>5</v>
      </c>
      <c r="L12">
        <v>5</v>
      </c>
      <c r="M12">
        <v>5</v>
      </c>
      <c r="N12">
        <v>5</v>
      </c>
      <c r="O12">
        <v>1</v>
      </c>
      <c r="P12">
        <v>1</v>
      </c>
    </row>
    <row r="13" spans="1:16" x14ac:dyDescent="0.3">
      <c r="A13" s="6">
        <v>10</v>
      </c>
      <c r="B13" s="21" t="s">
        <v>170</v>
      </c>
      <c r="C13" s="21" t="s">
        <v>215</v>
      </c>
      <c r="D13" s="22">
        <f t="shared" si="5"/>
        <v>5</v>
      </c>
      <c r="E13" s="22">
        <f t="shared" si="0"/>
        <v>4</v>
      </c>
      <c r="F13" s="22">
        <f t="shared" si="1"/>
        <v>5</v>
      </c>
      <c r="G13" s="22">
        <f t="shared" si="2"/>
        <v>4</v>
      </c>
      <c r="H13" s="22">
        <f t="shared" si="3"/>
        <v>5</v>
      </c>
      <c r="I13" s="22">
        <f t="shared" si="4"/>
        <v>5</v>
      </c>
      <c r="K13">
        <v>1</v>
      </c>
      <c r="L13">
        <v>2</v>
      </c>
      <c r="M13">
        <v>1</v>
      </c>
      <c r="N13">
        <v>2</v>
      </c>
      <c r="O13">
        <v>1</v>
      </c>
      <c r="P13">
        <v>1</v>
      </c>
    </row>
    <row r="14" spans="1:16" x14ac:dyDescent="0.3">
      <c r="A14" s="6">
        <v>11</v>
      </c>
      <c r="B14" s="21" t="s">
        <v>171</v>
      </c>
      <c r="C14" s="21" t="s">
        <v>216</v>
      </c>
      <c r="D14" s="22">
        <f t="shared" si="5"/>
        <v>1</v>
      </c>
      <c r="E14" s="22">
        <f t="shared" si="0"/>
        <v>4</v>
      </c>
      <c r="F14" s="22">
        <f t="shared" si="1"/>
        <v>1</v>
      </c>
      <c r="G14" s="22">
        <f t="shared" si="2"/>
        <v>1</v>
      </c>
      <c r="H14" s="22">
        <f t="shared" si="3"/>
        <v>4</v>
      </c>
      <c r="I14" s="22">
        <f t="shared" si="4"/>
        <v>1</v>
      </c>
      <c r="K14">
        <v>5</v>
      </c>
      <c r="L14">
        <v>2</v>
      </c>
      <c r="M14">
        <v>5</v>
      </c>
      <c r="N14">
        <v>5</v>
      </c>
      <c r="O14">
        <v>2</v>
      </c>
      <c r="P14">
        <v>5</v>
      </c>
    </row>
    <row r="15" spans="1:16" x14ac:dyDescent="0.3">
      <c r="A15" s="6">
        <v>12</v>
      </c>
      <c r="B15" s="21" t="s">
        <v>172</v>
      </c>
      <c r="C15" s="21" t="s">
        <v>216</v>
      </c>
      <c r="D15" s="22">
        <f t="shared" si="5"/>
        <v>-5</v>
      </c>
      <c r="E15" s="22">
        <f t="shared" si="0"/>
        <v>-5</v>
      </c>
      <c r="F15" s="22">
        <f t="shared" si="1"/>
        <v>-5</v>
      </c>
      <c r="G15" s="22">
        <f t="shared" si="2"/>
        <v>-5</v>
      </c>
      <c r="H15" s="22">
        <f t="shared" si="3"/>
        <v>-5</v>
      </c>
      <c r="I15" s="22">
        <f t="shared" si="4"/>
        <v>-5</v>
      </c>
      <c r="K15">
        <v>9</v>
      </c>
      <c r="L15">
        <v>9</v>
      </c>
      <c r="M15">
        <v>9</v>
      </c>
      <c r="N15">
        <v>9</v>
      </c>
      <c r="O15">
        <v>9</v>
      </c>
      <c r="P15">
        <v>9</v>
      </c>
    </row>
    <row r="16" spans="1:16" x14ac:dyDescent="0.3">
      <c r="A16" s="6">
        <v>13</v>
      </c>
      <c r="B16" s="21" t="s">
        <v>173</v>
      </c>
      <c r="C16" s="21" t="s">
        <v>216</v>
      </c>
      <c r="D16" s="22">
        <f t="shared" si="5"/>
        <v>5</v>
      </c>
      <c r="E16" s="22">
        <f t="shared" si="0"/>
        <v>5</v>
      </c>
      <c r="F16" s="22">
        <f t="shared" si="1"/>
        <v>5</v>
      </c>
      <c r="G16" s="22">
        <f t="shared" si="2"/>
        <v>5</v>
      </c>
      <c r="H16" s="22">
        <f t="shared" si="3"/>
        <v>5</v>
      </c>
      <c r="I16" s="22">
        <f t="shared" si="4"/>
        <v>5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</row>
    <row r="17" spans="1:16" x14ac:dyDescent="0.3">
      <c r="A17" s="6">
        <v>14</v>
      </c>
      <c r="B17" s="21" t="s">
        <v>174</v>
      </c>
      <c r="C17" s="21" t="s">
        <v>216</v>
      </c>
      <c r="D17" s="22">
        <f t="shared" si="5"/>
        <v>5</v>
      </c>
      <c r="E17" s="22">
        <f t="shared" si="0"/>
        <v>5</v>
      </c>
      <c r="F17" s="22">
        <f t="shared" si="1"/>
        <v>5</v>
      </c>
      <c r="G17" s="22">
        <f t="shared" si="2"/>
        <v>5</v>
      </c>
      <c r="H17" s="22">
        <f t="shared" si="3"/>
        <v>5</v>
      </c>
      <c r="I17" s="22">
        <f t="shared" si="4"/>
        <v>5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</row>
    <row r="18" spans="1:16" x14ac:dyDescent="0.3">
      <c r="A18" s="6">
        <v>15</v>
      </c>
      <c r="B18" s="21" t="s">
        <v>175</v>
      </c>
      <c r="C18" s="21" t="s">
        <v>216</v>
      </c>
      <c r="D18" s="22">
        <f t="shared" si="5"/>
        <v>5</v>
      </c>
      <c r="E18" s="22">
        <f t="shared" si="0"/>
        <v>5</v>
      </c>
      <c r="F18" s="22">
        <f t="shared" si="1"/>
        <v>5</v>
      </c>
      <c r="G18" s="22">
        <f t="shared" si="2"/>
        <v>5</v>
      </c>
      <c r="H18" s="22">
        <f t="shared" si="3"/>
        <v>5</v>
      </c>
      <c r="I18" s="22">
        <f t="shared" si="4"/>
        <v>5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</row>
    <row r="19" spans="1:16" x14ac:dyDescent="0.3">
      <c r="A19" s="6">
        <v>16</v>
      </c>
      <c r="B19" s="21" t="s">
        <v>176</v>
      </c>
      <c r="C19" s="21" t="s">
        <v>216</v>
      </c>
      <c r="D19" s="22">
        <f t="shared" si="5"/>
        <v>1</v>
      </c>
      <c r="E19" s="22">
        <f t="shared" si="0"/>
        <v>1</v>
      </c>
      <c r="F19" s="22">
        <f t="shared" si="1"/>
        <v>1</v>
      </c>
      <c r="G19" s="22">
        <f t="shared" si="2"/>
        <v>1</v>
      </c>
      <c r="H19" s="22">
        <f t="shared" si="3"/>
        <v>1</v>
      </c>
      <c r="I19" s="22">
        <f t="shared" si="4"/>
        <v>1</v>
      </c>
      <c r="K19">
        <v>5</v>
      </c>
      <c r="L19">
        <v>5</v>
      </c>
      <c r="M19">
        <v>5</v>
      </c>
      <c r="N19">
        <v>5</v>
      </c>
      <c r="O19">
        <v>5</v>
      </c>
      <c r="P19">
        <v>5</v>
      </c>
    </row>
    <row r="20" spans="1:16" x14ac:dyDescent="0.3">
      <c r="A20" s="6">
        <v>17</v>
      </c>
      <c r="B20" s="21" t="s">
        <v>177</v>
      </c>
      <c r="C20" s="21" t="s">
        <v>216</v>
      </c>
      <c r="D20" s="22">
        <f t="shared" si="5"/>
        <v>5</v>
      </c>
      <c r="E20" s="22">
        <f t="shared" si="0"/>
        <v>5</v>
      </c>
      <c r="F20" s="22">
        <f t="shared" si="1"/>
        <v>5</v>
      </c>
      <c r="G20" s="22">
        <f t="shared" si="2"/>
        <v>5</v>
      </c>
      <c r="H20" s="22">
        <f t="shared" si="3"/>
        <v>5</v>
      </c>
      <c r="I20" s="22">
        <f t="shared" si="4"/>
        <v>5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</row>
    <row r="21" spans="1:16" x14ac:dyDescent="0.3">
      <c r="A21" s="6">
        <v>18</v>
      </c>
      <c r="B21" s="21" t="s">
        <v>178</v>
      </c>
      <c r="C21" s="21" t="s">
        <v>216</v>
      </c>
      <c r="D21" s="22">
        <f t="shared" si="5"/>
        <v>1</v>
      </c>
      <c r="E21" s="22">
        <f t="shared" si="0"/>
        <v>1</v>
      </c>
      <c r="F21" s="22">
        <f t="shared" si="1"/>
        <v>1</v>
      </c>
      <c r="G21" s="22">
        <f t="shared" si="2"/>
        <v>1</v>
      </c>
      <c r="H21" s="22">
        <f t="shared" si="3"/>
        <v>1</v>
      </c>
      <c r="I21" s="22">
        <f t="shared" si="4"/>
        <v>1</v>
      </c>
      <c r="K21">
        <v>5</v>
      </c>
      <c r="L21">
        <v>5</v>
      </c>
      <c r="M21">
        <v>5</v>
      </c>
      <c r="N21">
        <v>5</v>
      </c>
      <c r="O21">
        <v>5</v>
      </c>
      <c r="P21">
        <v>5</v>
      </c>
    </row>
    <row r="22" spans="1:16" x14ac:dyDescent="0.3">
      <c r="A22" s="6">
        <v>19</v>
      </c>
      <c r="B22" s="21" t="s">
        <v>179</v>
      </c>
      <c r="C22" s="21" t="s">
        <v>216</v>
      </c>
      <c r="D22" s="22">
        <f t="shared" si="5"/>
        <v>3</v>
      </c>
      <c r="E22" s="22">
        <f t="shared" si="0"/>
        <v>3</v>
      </c>
      <c r="F22" s="22">
        <f t="shared" si="1"/>
        <v>3</v>
      </c>
      <c r="G22" s="22">
        <f t="shared" si="2"/>
        <v>3</v>
      </c>
      <c r="H22" s="22">
        <f t="shared" si="3"/>
        <v>3</v>
      </c>
      <c r="I22" s="22">
        <f t="shared" si="4"/>
        <v>3</v>
      </c>
      <c r="K22">
        <v>3</v>
      </c>
      <c r="L22">
        <v>3</v>
      </c>
      <c r="M22">
        <v>3</v>
      </c>
      <c r="N22">
        <v>3</v>
      </c>
      <c r="O22">
        <v>3</v>
      </c>
      <c r="P22">
        <v>3</v>
      </c>
    </row>
    <row r="23" spans="1:16" x14ac:dyDescent="0.3">
      <c r="A23" s="6">
        <v>20</v>
      </c>
      <c r="B23" s="21" t="s">
        <v>180</v>
      </c>
      <c r="C23" s="21" t="s">
        <v>216</v>
      </c>
      <c r="D23" s="22">
        <f t="shared" si="5"/>
        <v>5</v>
      </c>
      <c r="E23" s="22">
        <f t="shared" si="0"/>
        <v>5</v>
      </c>
      <c r="F23" s="22">
        <f t="shared" si="1"/>
        <v>5</v>
      </c>
      <c r="G23" s="22">
        <f t="shared" si="2"/>
        <v>-5</v>
      </c>
      <c r="H23" s="22">
        <f t="shared" si="3"/>
        <v>5</v>
      </c>
      <c r="I23" s="22">
        <f t="shared" si="4"/>
        <v>5</v>
      </c>
      <c r="K23">
        <v>1</v>
      </c>
      <c r="L23">
        <v>1</v>
      </c>
      <c r="M23">
        <v>1</v>
      </c>
      <c r="N23">
        <v>9</v>
      </c>
      <c r="O23">
        <v>1</v>
      </c>
      <c r="P23">
        <v>1</v>
      </c>
    </row>
    <row r="24" spans="1:16" x14ac:dyDescent="0.3">
      <c r="A24" s="6">
        <v>21</v>
      </c>
      <c r="B24" s="21" t="s">
        <v>181</v>
      </c>
      <c r="C24" s="21" t="s">
        <v>216</v>
      </c>
      <c r="D24" s="22">
        <f t="shared" si="5"/>
        <v>-4</v>
      </c>
      <c r="E24" s="22">
        <f t="shared" si="0"/>
        <v>-4</v>
      </c>
      <c r="F24" s="22">
        <f t="shared" si="1"/>
        <v>-4</v>
      </c>
      <c r="G24" s="22">
        <f t="shared" si="2"/>
        <v>-4</v>
      </c>
      <c r="H24" s="22">
        <f t="shared" si="3"/>
        <v>-4</v>
      </c>
      <c r="I24" s="22">
        <f t="shared" si="4"/>
        <v>-4</v>
      </c>
      <c r="K24">
        <v>8</v>
      </c>
      <c r="L24">
        <v>8</v>
      </c>
      <c r="M24">
        <v>8</v>
      </c>
      <c r="N24">
        <v>8</v>
      </c>
      <c r="O24">
        <v>8</v>
      </c>
      <c r="P24">
        <v>8</v>
      </c>
    </row>
    <row r="25" spans="1:16" x14ac:dyDescent="0.3">
      <c r="A25" s="6">
        <v>22</v>
      </c>
      <c r="B25" s="21" t="s">
        <v>182</v>
      </c>
      <c r="C25" s="21" t="s">
        <v>216</v>
      </c>
      <c r="D25" s="22">
        <f t="shared" si="5"/>
        <v>5</v>
      </c>
      <c r="E25" s="22">
        <f t="shared" si="0"/>
        <v>5</v>
      </c>
      <c r="F25" s="22">
        <f t="shared" si="1"/>
        <v>5</v>
      </c>
      <c r="G25" s="22">
        <f t="shared" si="2"/>
        <v>5</v>
      </c>
      <c r="H25" s="22">
        <f t="shared" si="3"/>
        <v>5</v>
      </c>
      <c r="I25" s="22">
        <f t="shared" si="4"/>
        <v>5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</row>
    <row r="26" spans="1:16" x14ac:dyDescent="0.3">
      <c r="A26" s="6">
        <v>23</v>
      </c>
      <c r="B26" s="21" t="s">
        <v>183</v>
      </c>
      <c r="C26" s="21" t="s">
        <v>216</v>
      </c>
      <c r="D26" s="22">
        <f t="shared" si="5"/>
        <v>5</v>
      </c>
      <c r="E26" s="22">
        <f t="shared" si="0"/>
        <v>5</v>
      </c>
      <c r="F26" s="22">
        <f t="shared" si="1"/>
        <v>5</v>
      </c>
      <c r="G26" s="22">
        <f t="shared" si="2"/>
        <v>5</v>
      </c>
      <c r="H26" s="22">
        <f t="shared" si="3"/>
        <v>5</v>
      </c>
      <c r="I26" s="22">
        <f t="shared" si="4"/>
        <v>5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</row>
    <row r="27" spans="1:16" x14ac:dyDescent="0.3">
      <c r="A27" s="6">
        <v>24</v>
      </c>
      <c r="B27" s="21" t="s">
        <v>184</v>
      </c>
      <c r="C27" s="21" t="s">
        <v>216</v>
      </c>
      <c r="D27" s="22">
        <f t="shared" si="5"/>
        <v>3</v>
      </c>
      <c r="E27" s="22">
        <f t="shared" si="0"/>
        <v>3</v>
      </c>
      <c r="F27" s="22">
        <f t="shared" si="1"/>
        <v>3</v>
      </c>
      <c r="G27" s="22">
        <f t="shared" si="2"/>
        <v>3</v>
      </c>
      <c r="H27" s="22">
        <f t="shared" si="3"/>
        <v>3</v>
      </c>
      <c r="I27" s="22">
        <f t="shared" si="4"/>
        <v>3</v>
      </c>
      <c r="K27">
        <v>3</v>
      </c>
      <c r="L27">
        <v>3</v>
      </c>
      <c r="M27">
        <v>3</v>
      </c>
      <c r="N27">
        <v>3</v>
      </c>
      <c r="O27">
        <v>3</v>
      </c>
      <c r="P27">
        <v>3</v>
      </c>
    </row>
    <row r="28" spans="1:16" x14ac:dyDescent="0.3">
      <c r="A28" s="6">
        <v>25</v>
      </c>
      <c r="B28" s="21" t="s">
        <v>185</v>
      </c>
      <c r="C28" s="21" t="s">
        <v>216</v>
      </c>
      <c r="D28" s="22">
        <f t="shared" si="5"/>
        <v>1</v>
      </c>
      <c r="E28" s="22">
        <f t="shared" si="0"/>
        <v>1</v>
      </c>
      <c r="F28" s="22">
        <f t="shared" si="1"/>
        <v>1</v>
      </c>
      <c r="G28" s="22">
        <f t="shared" si="2"/>
        <v>1</v>
      </c>
      <c r="H28" s="22">
        <f t="shared" si="3"/>
        <v>1</v>
      </c>
      <c r="I28" s="22">
        <f t="shared" si="4"/>
        <v>1</v>
      </c>
      <c r="K28">
        <v>5</v>
      </c>
      <c r="L28">
        <v>5</v>
      </c>
      <c r="M28">
        <v>5</v>
      </c>
      <c r="N28">
        <v>5</v>
      </c>
      <c r="O28">
        <v>5</v>
      </c>
      <c r="P28">
        <v>5</v>
      </c>
    </row>
    <row r="29" spans="1:16" x14ac:dyDescent="0.3">
      <c r="A29" s="6">
        <v>26</v>
      </c>
      <c r="B29" s="21" t="s">
        <v>186</v>
      </c>
      <c r="C29" s="21" t="s">
        <v>215</v>
      </c>
      <c r="D29" s="22">
        <f t="shared" si="5"/>
        <v>4</v>
      </c>
      <c r="E29" s="22">
        <f t="shared" si="0"/>
        <v>-4</v>
      </c>
      <c r="F29" s="22">
        <f t="shared" si="1"/>
        <v>-4</v>
      </c>
      <c r="G29" s="22">
        <f t="shared" si="2"/>
        <v>-4</v>
      </c>
      <c r="H29" s="22">
        <f t="shared" si="3"/>
        <v>4</v>
      </c>
      <c r="I29" s="22">
        <f t="shared" si="4"/>
        <v>4</v>
      </c>
      <c r="K29">
        <v>2</v>
      </c>
      <c r="L29">
        <v>8</v>
      </c>
      <c r="M29">
        <v>8</v>
      </c>
      <c r="N29">
        <v>8</v>
      </c>
      <c r="O29">
        <v>2</v>
      </c>
      <c r="P29">
        <v>2</v>
      </c>
    </row>
    <row r="30" spans="1:16" x14ac:dyDescent="0.3">
      <c r="A30" s="6">
        <v>27</v>
      </c>
      <c r="B30" s="21" t="s">
        <v>187</v>
      </c>
      <c r="C30" s="21" t="s">
        <v>216</v>
      </c>
      <c r="D30" s="22">
        <f t="shared" si="5"/>
        <v>4</v>
      </c>
      <c r="E30" s="22">
        <f t="shared" si="0"/>
        <v>4</v>
      </c>
      <c r="F30" s="22">
        <f t="shared" si="1"/>
        <v>-4</v>
      </c>
      <c r="G30" s="22">
        <f t="shared" si="2"/>
        <v>3</v>
      </c>
      <c r="H30" s="22">
        <f t="shared" si="3"/>
        <v>3</v>
      </c>
      <c r="I30" s="22">
        <f t="shared" si="4"/>
        <v>-4</v>
      </c>
      <c r="K30">
        <v>2</v>
      </c>
      <c r="L30">
        <v>2</v>
      </c>
      <c r="M30">
        <v>8</v>
      </c>
      <c r="N30">
        <v>3</v>
      </c>
      <c r="O30">
        <v>3</v>
      </c>
      <c r="P30">
        <v>8</v>
      </c>
    </row>
    <row r="31" spans="1:16" x14ac:dyDescent="0.3">
      <c r="A31" s="6">
        <v>28</v>
      </c>
      <c r="B31" s="21" t="s">
        <v>188</v>
      </c>
      <c r="C31" s="21" t="s">
        <v>215</v>
      </c>
      <c r="D31" s="22">
        <f t="shared" si="5"/>
        <v>1</v>
      </c>
      <c r="E31" s="22">
        <f t="shared" si="0"/>
        <v>1</v>
      </c>
      <c r="F31" s="22">
        <f t="shared" si="1"/>
        <v>1</v>
      </c>
      <c r="G31" s="22">
        <f t="shared" si="2"/>
        <v>1</v>
      </c>
      <c r="H31" s="22">
        <f t="shared" si="3"/>
        <v>1</v>
      </c>
      <c r="I31" s="22">
        <f t="shared" si="4"/>
        <v>1</v>
      </c>
      <c r="K31">
        <v>5</v>
      </c>
      <c r="L31">
        <v>5</v>
      </c>
      <c r="M31">
        <v>5</v>
      </c>
      <c r="N31">
        <v>5</v>
      </c>
      <c r="O31">
        <v>5</v>
      </c>
      <c r="P31">
        <v>5</v>
      </c>
    </row>
    <row r="32" spans="1:16" x14ac:dyDescent="0.3">
      <c r="A32" s="6">
        <v>29</v>
      </c>
      <c r="B32" s="21" t="s">
        <v>189</v>
      </c>
      <c r="C32" s="21" t="s">
        <v>215</v>
      </c>
      <c r="D32" s="22">
        <f t="shared" si="5"/>
        <v>-4</v>
      </c>
      <c r="E32" s="22">
        <f t="shared" si="0"/>
        <v>4</v>
      </c>
      <c r="F32" s="22">
        <f t="shared" si="1"/>
        <v>4</v>
      </c>
      <c r="G32" s="22">
        <f t="shared" si="2"/>
        <v>4</v>
      </c>
      <c r="H32" s="22">
        <f t="shared" si="3"/>
        <v>4</v>
      </c>
      <c r="I32" s="22">
        <f t="shared" si="4"/>
        <v>4</v>
      </c>
      <c r="K32">
        <v>8</v>
      </c>
      <c r="L32">
        <v>2</v>
      </c>
      <c r="M32">
        <v>2</v>
      </c>
      <c r="N32">
        <v>2</v>
      </c>
      <c r="O32">
        <v>2</v>
      </c>
      <c r="P32">
        <v>2</v>
      </c>
    </row>
    <row r="33" spans="1:16" x14ac:dyDescent="0.3">
      <c r="A33" s="6">
        <v>30</v>
      </c>
      <c r="B33" s="21" t="s">
        <v>190</v>
      </c>
      <c r="C33" s="21" t="s">
        <v>217</v>
      </c>
      <c r="D33" s="22">
        <f t="shared" si="5"/>
        <v>1</v>
      </c>
      <c r="E33" s="22">
        <f t="shared" si="0"/>
        <v>1</v>
      </c>
      <c r="F33" s="22">
        <f t="shared" si="1"/>
        <v>1</v>
      </c>
      <c r="G33" s="22">
        <f t="shared" si="2"/>
        <v>1</v>
      </c>
      <c r="H33" s="22">
        <f t="shared" si="3"/>
        <v>1</v>
      </c>
      <c r="I33" s="22">
        <f t="shared" si="4"/>
        <v>1</v>
      </c>
      <c r="K33">
        <v>5</v>
      </c>
      <c r="L33">
        <v>5</v>
      </c>
      <c r="M33">
        <v>5</v>
      </c>
      <c r="N33">
        <v>5</v>
      </c>
      <c r="O33">
        <v>5</v>
      </c>
      <c r="P33">
        <v>5</v>
      </c>
    </row>
    <row r="34" spans="1:16" x14ac:dyDescent="0.3">
      <c r="A34" s="6">
        <v>31</v>
      </c>
      <c r="B34" s="21" t="s">
        <v>191</v>
      </c>
      <c r="C34" s="21" t="s">
        <v>215</v>
      </c>
      <c r="D34" s="22">
        <f t="shared" si="5"/>
        <v>1</v>
      </c>
      <c r="E34" s="22">
        <f t="shared" si="0"/>
        <v>1</v>
      </c>
      <c r="F34" s="22">
        <f t="shared" si="1"/>
        <v>3</v>
      </c>
      <c r="G34" s="22">
        <f t="shared" si="2"/>
        <v>1</v>
      </c>
      <c r="H34" s="22">
        <f t="shared" si="3"/>
        <v>2</v>
      </c>
      <c r="I34" s="22">
        <f t="shared" si="4"/>
        <v>2</v>
      </c>
      <c r="K34">
        <v>5</v>
      </c>
      <c r="L34">
        <v>5</v>
      </c>
      <c r="M34">
        <v>3</v>
      </c>
      <c r="N34">
        <v>5</v>
      </c>
      <c r="O34">
        <v>4</v>
      </c>
      <c r="P34">
        <v>4</v>
      </c>
    </row>
    <row r="35" spans="1:16" x14ac:dyDescent="0.3">
      <c r="A35" s="6">
        <v>32</v>
      </c>
      <c r="B35" s="21" t="s">
        <v>192</v>
      </c>
      <c r="C35" s="21" t="s">
        <v>215</v>
      </c>
      <c r="D35" s="22">
        <f t="shared" si="5"/>
        <v>1</v>
      </c>
      <c r="E35" s="22">
        <f t="shared" si="0"/>
        <v>1</v>
      </c>
      <c r="F35" s="22">
        <f t="shared" si="1"/>
        <v>4</v>
      </c>
      <c r="G35" s="22">
        <f t="shared" si="2"/>
        <v>1</v>
      </c>
      <c r="H35" s="22">
        <f t="shared" si="3"/>
        <v>4</v>
      </c>
      <c r="I35" s="22">
        <f t="shared" si="4"/>
        <v>1</v>
      </c>
      <c r="K35">
        <v>5</v>
      </c>
      <c r="L35">
        <v>5</v>
      </c>
      <c r="M35">
        <v>2</v>
      </c>
      <c r="N35">
        <v>5</v>
      </c>
      <c r="O35">
        <v>2</v>
      </c>
      <c r="P35">
        <v>5</v>
      </c>
    </row>
    <row r="36" spans="1:16" x14ac:dyDescent="0.3">
      <c r="A36" s="6">
        <v>33</v>
      </c>
      <c r="B36" s="21" t="s">
        <v>193</v>
      </c>
      <c r="C36" s="21" t="s">
        <v>215</v>
      </c>
      <c r="D36" s="22">
        <f t="shared" si="5"/>
        <v>1</v>
      </c>
      <c r="E36" s="22">
        <f t="shared" si="0"/>
        <v>-5</v>
      </c>
      <c r="F36" s="22">
        <f t="shared" si="1"/>
        <v>-4</v>
      </c>
      <c r="G36" s="22">
        <f t="shared" si="2"/>
        <v>-3</v>
      </c>
      <c r="H36" s="22">
        <f t="shared" si="3"/>
        <v>1</v>
      </c>
      <c r="I36" s="22">
        <f t="shared" si="4"/>
        <v>4</v>
      </c>
      <c r="K36">
        <v>5</v>
      </c>
      <c r="L36">
        <v>9</v>
      </c>
      <c r="M36">
        <v>8</v>
      </c>
      <c r="N36">
        <v>7</v>
      </c>
      <c r="O36">
        <v>5</v>
      </c>
      <c r="P36">
        <v>2</v>
      </c>
    </row>
    <row r="37" spans="1:16" x14ac:dyDescent="0.3">
      <c r="A37" s="6">
        <v>34</v>
      </c>
      <c r="B37" s="21" t="s">
        <v>194</v>
      </c>
      <c r="C37" s="21" t="s">
        <v>215</v>
      </c>
      <c r="D37" s="22">
        <f t="shared" si="5"/>
        <v>5</v>
      </c>
      <c r="E37" s="22">
        <f t="shared" si="0"/>
        <v>5</v>
      </c>
      <c r="F37" s="22">
        <f t="shared" si="1"/>
        <v>5</v>
      </c>
      <c r="G37" s="22">
        <f t="shared" si="2"/>
        <v>-5</v>
      </c>
      <c r="H37" s="22">
        <f t="shared" si="3"/>
        <v>5</v>
      </c>
      <c r="I37" s="22">
        <f t="shared" si="4"/>
        <v>5</v>
      </c>
      <c r="K37">
        <v>1</v>
      </c>
      <c r="L37">
        <v>1</v>
      </c>
      <c r="M37">
        <v>1</v>
      </c>
      <c r="N37">
        <v>9</v>
      </c>
      <c r="O37">
        <v>1</v>
      </c>
      <c r="P37">
        <v>1</v>
      </c>
    </row>
    <row r="38" spans="1:16" x14ac:dyDescent="0.3">
      <c r="A38" s="6">
        <v>35</v>
      </c>
      <c r="B38" s="21" t="s">
        <v>195</v>
      </c>
      <c r="C38" s="21" t="s">
        <v>216</v>
      </c>
      <c r="D38" s="22">
        <f t="shared" si="5"/>
        <v>4</v>
      </c>
      <c r="E38" s="22">
        <f t="shared" si="0"/>
        <v>4</v>
      </c>
      <c r="F38" s="22">
        <f t="shared" si="1"/>
        <v>4</v>
      </c>
      <c r="G38" s="22">
        <f t="shared" si="2"/>
        <v>4</v>
      </c>
      <c r="H38" s="22">
        <f t="shared" si="3"/>
        <v>4</v>
      </c>
      <c r="I38" s="22">
        <f t="shared" si="4"/>
        <v>4</v>
      </c>
      <c r="K38">
        <v>2</v>
      </c>
      <c r="L38">
        <v>2</v>
      </c>
      <c r="M38">
        <v>2</v>
      </c>
      <c r="N38">
        <v>2</v>
      </c>
      <c r="O38">
        <v>2</v>
      </c>
      <c r="P38">
        <v>2</v>
      </c>
    </row>
    <row r="39" spans="1:16" x14ac:dyDescent="0.3">
      <c r="A39" s="6">
        <v>36</v>
      </c>
      <c r="B39" s="21" t="s">
        <v>196</v>
      </c>
      <c r="C39" s="21" t="s">
        <v>216</v>
      </c>
      <c r="D39" s="22">
        <f t="shared" si="5"/>
        <v>5</v>
      </c>
      <c r="E39" s="22">
        <f t="shared" si="0"/>
        <v>4</v>
      </c>
      <c r="F39" s="22">
        <f t="shared" si="1"/>
        <v>4</v>
      </c>
      <c r="G39" s="22">
        <f t="shared" si="2"/>
        <v>5</v>
      </c>
      <c r="H39" s="22">
        <f t="shared" si="3"/>
        <v>4</v>
      </c>
      <c r="I39" s="22">
        <f t="shared" si="4"/>
        <v>4</v>
      </c>
      <c r="K39">
        <v>1</v>
      </c>
      <c r="L39">
        <v>2</v>
      </c>
      <c r="M39">
        <v>2</v>
      </c>
      <c r="N39">
        <v>1</v>
      </c>
      <c r="O39">
        <v>2</v>
      </c>
      <c r="P39">
        <v>2</v>
      </c>
    </row>
    <row r="40" spans="1:16" x14ac:dyDescent="0.3">
      <c r="A40" s="6">
        <v>37</v>
      </c>
      <c r="B40" s="21" t="s">
        <v>197</v>
      </c>
      <c r="C40" s="21" t="s">
        <v>216</v>
      </c>
      <c r="D40" s="22">
        <f t="shared" si="5"/>
        <v>-5</v>
      </c>
      <c r="E40" s="22">
        <f t="shared" si="0"/>
        <v>-5</v>
      </c>
      <c r="F40" s="22">
        <f t="shared" si="1"/>
        <v>-5</v>
      </c>
      <c r="G40" s="22">
        <f t="shared" si="2"/>
        <v>-5</v>
      </c>
      <c r="H40" s="22">
        <f t="shared" si="3"/>
        <v>-5</v>
      </c>
      <c r="I40" s="22">
        <f t="shared" si="4"/>
        <v>-5</v>
      </c>
      <c r="K40">
        <v>9</v>
      </c>
      <c r="L40">
        <v>9</v>
      </c>
      <c r="M40">
        <v>9</v>
      </c>
      <c r="N40">
        <v>9</v>
      </c>
      <c r="O40">
        <v>9</v>
      </c>
      <c r="P40">
        <v>9</v>
      </c>
    </row>
    <row r="41" spans="1:16" x14ac:dyDescent="0.3">
      <c r="A41" s="6">
        <v>38</v>
      </c>
      <c r="B41" s="21" t="s">
        <v>198</v>
      </c>
      <c r="C41" s="21" t="s">
        <v>217</v>
      </c>
      <c r="D41" s="22">
        <f t="shared" si="5"/>
        <v>1</v>
      </c>
      <c r="E41" s="22">
        <f t="shared" si="0"/>
        <v>1</v>
      </c>
      <c r="F41" s="22">
        <f t="shared" si="1"/>
        <v>1</v>
      </c>
      <c r="G41" s="22">
        <f t="shared" si="2"/>
        <v>1</v>
      </c>
      <c r="H41" s="22">
        <f t="shared" si="3"/>
        <v>5</v>
      </c>
      <c r="I41" s="22">
        <f t="shared" si="4"/>
        <v>1</v>
      </c>
      <c r="K41">
        <v>5</v>
      </c>
      <c r="L41">
        <v>5</v>
      </c>
      <c r="M41">
        <v>5</v>
      </c>
      <c r="N41">
        <v>5</v>
      </c>
      <c r="O41">
        <v>1</v>
      </c>
      <c r="P41">
        <v>5</v>
      </c>
    </row>
    <row r="42" spans="1:16" x14ac:dyDescent="0.3">
      <c r="A42" s="6">
        <v>39</v>
      </c>
      <c r="B42" s="21" t="s">
        <v>199</v>
      </c>
      <c r="C42" s="21" t="s">
        <v>216</v>
      </c>
      <c r="D42" s="22">
        <f t="shared" si="5"/>
        <v>1</v>
      </c>
      <c r="E42" s="22">
        <f t="shared" si="0"/>
        <v>1</v>
      </c>
      <c r="F42" s="22">
        <f t="shared" si="1"/>
        <v>2</v>
      </c>
      <c r="G42" s="22">
        <f t="shared" si="2"/>
        <v>1</v>
      </c>
      <c r="H42" s="22">
        <f t="shared" si="3"/>
        <v>2</v>
      </c>
      <c r="I42" s="22">
        <f t="shared" si="4"/>
        <v>2</v>
      </c>
      <c r="K42">
        <v>5</v>
      </c>
      <c r="L42">
        <v>5</v>
      </c>
      <c r="M42">
        <v>4</v>
      </c>
      <c r="N42">
        <v>5</v>
      </c>
      <c r="O42">
        <v>4</v>
      </c>
      <c r="P42">
        <v>4</v>
      </c>
    </row>
    <row r="43" spans="1:16" x14ac:dyDescent="0.3">
      <c r="A43" s="6">
        <v>40</v>
      </c>
      <c r="B43" s="21" t="s">
        <v>200</v>
      </c>
      <c r="C43" s="21" t="s">
        <v>216</v>
      </c>
      <c r="D43" s="22">
        <f t="shared" si="5"/>
        <v>-3</v>
      </c>
      <c r="E43" s="22">
        <f t="shared" si="0"/>
        <v>-4</v>
      </c>
      <c r="F43" s="22">
        <f t="shared" si="1"/>
        <v>-3</v>
      </c>
      <c r="G43" s="22">
        <f t="shared" si="2"/>
        <v>-4</v>
      </c>
      <c r="H43" s="22">
        <f t="shared" si="3"/>
        <v>-4</v>
      </c>
      <c r="I43" s="22">
        <f t="shared" si="4"/>
        <v>-4</v>
      </c>
      <c r="K43">
        <v>7</v>
      </c>
      <c r="L43">
        <v>8</v>
      </c>
      <c r="M43">
        <v>7</v>
      </c>
      <c r="N43">
        <v>8</v>
      </c>
      <c r="O43">
        <v>8</v>
      </c>
      <c r="P43">
        <v>8</v>
      </c>
    </row>
    <row r="44" spans="1:16" x14ac:dyDescent="0.3">
      <c r="A44" s="6">
        <v>41</v>
      </c>
      <c r="B44" s="21" t="s">
        <v>201</v>
      </c>
      <c r="C44" s="21" t="s">
        <v>216</v>
      </c>
      <c r="D44" s="22">
        <f t="shared" si="5"/>
        <v>4</v>
      </c>
      <c r="E44" s="22">
        <f t="shared" si="0"/>
        <v>5</v>
      </c>
      <c r="F44" s="22">
        <f t="shared" si="1"/>
        <v>5</v>
      </c>
      <c r="G44" s="22">
        <f t="shared" si="2"/>
        <v>5</v>
      </c>
      <c r="H44" s="22">
        <f t="shared" si="3"/>
        <v>5</v>
      </c>
      <c r="I44" s="22">
        <f t="shared" si="4"/>
        <v>5</v>
      </c>
      <c r="K44">
        <v>2</v>
      </c>
      <c r="L44">
        <v>1</v>
      </c>
      <c r="M44">
        <v>1</v>
      </c>
      <c r="N44">
        <v>1</v>
      </c>
      <c r="O44">
        <v>1</v>
      </c>
      <c r="P44">
        <v>1</v>
      </c>
    </row>
    <row r="45" spans="1:16" x14ac:dyDescent="0.3">
      <c r="A45" s="6">
        <v>42</v>
      </c>
      <c r="B45" s="21" t="s">
        <v>202</v>
      </c>
      <c r="C45" s="21" t="s">
        <v>216</v>
      </c>
      <c r="D45" s="22">
        <f t="shared" si="5"/>
        <v>-5</v>
      </c>
      <c r="E45" s="22">
        <f t="shared" si="0"/>
        <v>-4</v>
      </c>
      <c r="F45" s="22">
        <f t="shared" si="1"/>
        <v>-4</v>
      </c>
      <c r="G45" s="22">
        <f t="shared" si="2"/>
        <v>5</v>
      </c>
      <c r="H45" s="22">
        <f t="shared" si="3"/>
        <v>5</v>
      </c>
      <c r="I45" s="22">
        <f t="shared" si="4"/>
        <v>5</v>
      </c>
      <c r="K45">
        <v>9</v>
      </c>
      <c r="L45">
        <v>8</v>
      </c>
      <c r="M45">
        <v>8</v>
      </c>
      <c r="N45">
        <v>1</v>
      </c>
      <c r="O45">
        <v>1</v>
      </c>
      <c r="P45">
        <v>1</v>
      </c>
    </row>
    <row r="46" spans="1:16" x14ac:dyDescent="0.3">
      <c r="A46" s="6">
        <v>43</v>
      </c>
      <c r="B46" s="21" t="s">
        <v>203</v>
      </c>
      <c r="C46" s="21" t="s">
        <v>216</v>
      </c>
      <c r="D46" s="22">
        <f t="shared" si="5"/>
        <v>1</v>
      </c>
      <c r="E46" s="22">
        <f t="shared" si="0"/>
        <v>1</v>
      </c>
      <c r="F46" s="22">
        <f t="shared" si="1"/>
        <v>4</v>
      </c>
      <c r="G46" s="22">
        <f t="shared" si="2"/>
        <v>5</v>
      </c>
      <c r="H46" s="22">
        <f t="shared" si="3"/>
        <v>5</v>
      </c>
      <c r="I46" s="22">
        <f t="shared" si="4"/>
        <v>5</v>
      </c>
      <c r="K46">
        <v>5</v>
      </c>
      <c r="L46">
        <v>5</v>
      </c>
      <c r="M46">
        <v>2</v>
      </c>
      <c r="N46">
        <v>1</v>
      </c>
      <c r="O46">
        <v>1</v>
      </c>
      <c r="P46">
        <v>1</v>
      </c>
    </row>
    <row r="47" spans="1:16" x14ac:dyDescent="0.3">
      <c r="A47" s="6">
        <v>44</v>
      </c>
      <c r="B47" s="21" t="s">
        <v>204</v>
      </c>
      <c r="C47" s="21" t="s">
        <v>216</v>
      </c>
      <c r="D47" s="22">
        <f t="shared" si="5"/>
        <v>-5</v>
      </c>
      <c r="E47" s="22">
        <f t="shared" si="0"/>
        <v>-5</v>
      </c>
      <c r="F47" s="22">
        <f t="shared" si="1"/>
        <v>-5</v>
      </c>
      <c r="G47" s="22">
        <f t="shared" si="2"/>
        <v>-5</v>
      </c>
      <c r="H47" s="22">
        <f t="shared" si="3"/>
        <v>-5</v>
      </c>
      <c r="I47" s="22">
        <f t="shared" si="4"/>
        <v>-5</v>
      </c>
      <c r="K47">
        <v>9</v>
      </c>
      <c r="L47">
        <v>9</v>
      </c>
      <c r="M47">
        <v>9</v>
      </c>
      <c r="N47">
        <v>9</v>
      </c>
      <c r="O47">
        <v>9</v>
      </c>
      <c r="P47">
        <v>9</v>
      </c>
    </row>
    <row r="48" spans="1:16" x14ac:dyDescent="0.3">
      <c r="A48" s="6">
        <v>45</v>
      </c>
      <c r="B48" s="21" t="s">
        <v>205</v>
      </c>
      <c r="C48" s="21" t="s">
        <v>216</v>
      </c>
      <c r="D48" s="22">
        <f t="shared" si="5"/>
        <v>-4</v>
      </c>
      <c r="E48" s="22">
        <f t="shared" si="0"/>
        <v>-3</v>
      </c>
      <c r="F48" s="22">
        <f t="shared" si="1"/>
        <v>1</v>
      </c>
      <c r="G48" s="22">
        <f t="shared" si="2"/>
        <v>1</v>
      </c>
      <c r="H48" s="22">
        <f t="shared" si="3"/>
        <v>1</v>
      </c>
      <c r="I48" s="22">
        <f t="shared" si="4"/>
        <v>1</v>
      </c>
      <c r="K48">
        <v>8</v>
      </c>
      <c r="L48">
        <v>7</v>
      </c>
      <c r="M48">
        <v>5</v>
      </c>
      <c r="N48">
        <v>5</v>
      </c>
      <c r="O48">
        <v>5</v>
      </c>
      <c r="P48">
        <v>5</v>
      </c>
    </row>
    <row r="49" spans="1:16" x14ac:dyDescent="0.3">
      <c r="A49" s="6">
        <v>46</v>
      </c>
      <c r="B49" s="21" t="s">
        <v>206</v>
      </c>
      <c r="C49" s="21" t="s">
        <v>218</v>
      </c>
      <c r="D49" s="22">
        <f t="shared" si="5"/>
        <v>2</v>
      </c>
      <c r="E49" s="22">
        <f t="shared" si="0"/>
        <v>4</v>
      </c>
      <c r="F49" s="22">
        <f t="shared" si="1"/>
        <v>5</v>
      </c>
      <c r="G49" s="22">
        <f t="shared" si="2"/>
        <v>-3</v>
      </c>
      <c r="H49" s="22">
        <f t="shared" si="3"/>
        <v>5</v>
      </c>
      <c r="I49" s="22">
        <f t="shared" si="4"/>
        <v>5</v>
      </c>
      <c r="K49">
        <v>4</v>
      </c>
      <c r="L49">
        <v>2</v>
      </c>
      <c r="M49">
        <v>1</v>
      </c>
      <c r="N49">
        <v>7</v>
      </c>
      <c r="O49">
        <v>1</v>
      </c>
      <c r="P49">
        <v>1</v>
      </c>
    </row>
    <row r="50" spans="1:16" x14ac:dyDescent="0.3">
      <c r="A50" s="6">
        <v>47</v>
      </c>
      <c r="B50" s="21" t="s">
        <v>207</v>
      </c>
      <c r="C50" s="21" t="s">
        <v>216</v>
      </c>
      <c r="D50" s="22">
        <f t="shared" si="5"/>
        <v>1</v>
      </c>
      <c r="E50" s="22">
        <f t="shared" si="0"/>
        <v>1</v>
      </c>
      <c r="F50" s="22">
        <f t="shared" si="1"/>
        <v>1</v>
      </c>
      <c r="G50" s="22">
        <f t="shared" si="2"/>
        <v>1</v>
      </c>
      <c r="H50" s="22">
        <f t="shared" si="3"/>
        <v>1</v>
      </c>
      <c r="I50" s="22">
        <f t="shared" si="4"/>
        <v>1</v>
      </c>
      <c r="K50">
        <v>5</v>
      </c>
      <c r="L50">
        <v>5</v>
      </c>
      <c r="M50">
        <v>5</v>
      </c>
      <c r="N50">
        <v>5</v>
      </c>
      <c r="O50">
        <v>5</v>
      </c>
      <c r="P50">
        <v>5</v>
      </c>
    </row>
    <row r="51" spans="1:16" x14ac:dyDescent="0.3">
      <c r="A51" s="6">
        <v>48</v>
      </c>
      <c r="B51" s="21" t="s">
        <v>208</v>
      </c>
      <c r="C51" s="21" t="s">
        <v>216</v>
      </c>
      <c r="D51" s="22">
        <f t="shared" si="5"/>
        <v>5</v>
      </c>
      <c r="E51" s="22">
        <f t="shared" si="0"/>
        <v>5</v>
      </c>
      <c r="F51" s="22">
        <f t="shared" si="1"/>
        <v>5</v>
      </c>
      <c r="G51" s="22">
        <f t="shared" si="2"/>
        <v>5</v>
      </c>
      <c r="H51" s="22">
        <f t="shared" si="3"/>
        <v>5</v>
      </c>
      <c r="I51" s="22">
        <f t="shared" si="4"/>
        <v>5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</row>
    <row r="52" spans="1:16" x14ac:dyDescent="0.3">
      <c r="A52" s="6">
        <v>49</v>
      </c>
      <c r="B52" s="21" t="s">
        <v>209</v>
      </c>
      <c r="C52" s="21" t="s">
        <v>216</v>
      </c>
      <c r="D52" s="22">
        <f t="shared" si="5"/>
        <v>5</v>
      </c>
      <c r="E52" s="22">
        <f t="shared" si="0"/>
        <v>5</v>
      </c>
      <c r="F52" s="22">
        <f t="shared" si="1"/>
        <v>5</v>
      </c>
      <c r="G52" s="22">
        <f t="shared" si="2"/>
        <v>5</v>
      </c>
      <c r="H52" s="22">
        <f t="shared" si="3"/>
        <v>5</v>
      </c>
      <c r="I52" s="22">
        <f t="shared" si="4"/>
        <v>5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</row>
    <row r="53" spans="1:16" x14ac:dyDescent="0.3">
      <c r="A53" s="6">
        <v>50</v>
      </c>
      <c r="B53" s="21" t="s">
        <v>210</v>
      </c>
      <c r="C53" s="21" t="s">
        <v>216</v>
      </c>
      <c r="D53" s="22">
        <f t="shared" si="5"/>
        <v>5</v>
      </c>
      <c r="E53" s="22">
        <f t="shared" si="0"/>
        <v>5</v>
      </c>
      <c r="F53" s="22">
        <f t="shared" si="1"/>
        <v>5</v>
      </c>
      <c r="G53" s="22">
        <f t="shared" si="2"/>
        <v>5</v>
      </c>
      <c r="H53" s="22">
        <f t="shared" si="3"/>
        <v>5</v>
      </c>
      <c r="I53" s="22">
        <f t="shared" si="4"/>
        <v>5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</row>
    <row r="54" spans="1:16" x14ac:dyDescent="0.3">
      <c r="A54" s="6">
        <v>51</v>
      </c>
      <c r="B54" s="21" t="s">
        <v>211</v>
      </c>
      <c r="C54" s="21" t="s">
        <v>216</v>
      </c>
      <c r="D54" s="22">
        <f t="shared" si="5"/>
        <v>4</v>
      </c>
      <c r="E54" s="22">
        <f t="shared" si="0"/>
        <v>4</v>
      </c>
      <c r="F54" s="22">
        <f t="shared" si="1"/>
        <v>4</v>
      </c>
      <c r="G54" s="22">
        <f t="shared" si="2"/>
        <v>4</v>
      </c>
      <c r="H54" s="22">
        <f t="shared" si="3"/>
        <v>4</v>
      </c>
      <c r="I54" s="22">
        <f t="shared" si="4"/>
        <v>5</v>
      </c>
      <c r="K54">
        <v>2</v>
      </c>
      <c r="L54">
        <v>2</v>
      </c>
      <c r="M54">
        <v>2</v>
      </c>
      <c r="N54">
        <v>2</v>
      </c>
      <c r="O54">
        <v>2</v>
      </c>
      <c r="P54">
        <v>1</v>
      </c>
    </row>
    <row r="55" spans="1:16" x14ac:dyDescent="0.3">
      <c r="A55" s="6">
        <v>52</v>
      </c>
      <c r="B55" s="21" t="s">
        <v>212</v>
      </c>
      <c r="C55" s="21" t="s">
        <v>216</v>
      </c>
      <c r="D55" s="22">
        <f t="shared" si="5"/>
        <v>4</v>
      </c>
      <c r="E55" s="22">
        <f t="shared" si="0"/>
        <v>5</v>
      </c>
      <c r="F55" s="22">
        <f t="shared" si="1"/>
        <v>-4</v>
      </c>
      <c r="G55" s="22">
        <f t="shared" si="2"/>
        <v>5</v>
      </c>
      <c r="H55" s="22">
        <f t="shared" si="3"/>
        <v>5</v>
      </c>
      <c r="I55" s="22">
        <f t="shared" si="4"/>
        <v>-5</v>
      </c>
      <c r="K55">
        <v>2</v>
      </c>
      <c r="L55">
        <v>1</v>
      </c>
      <c r="M55">
        <v>8</v>
      </c>
      <c r="N55">
        <v>1</v>
      </c>
      <c r="O55">
        <v>1</v>
      </c>
      <c r="P55">
        <v>9</v>
      </c>
    </row>
    <row r="56" spans="1:16" x14ac:dyDescent="0.3">
      <c r="A56" s="6">
        <v>53</v>
      </c>
      <c r="B56" s="21" t="s">
        <v>213</v>
      </c>
      <c r="C56" s="21" t="s">
        <v>216</v>
      </c>
      <c r="D56" s="22">
        <f t="shared" si="5"/>
        <v>-5</v>
      </c>
      <c r="E56" s="22">
        <f t="shared" si="0"/>
        <v>1</v>
      </c>
      <c r="F56" s="22">
        <f t="shared" si="1"/>
        <v>1</v>
      </c>
      <c r="G56" s="22">
        <f t="shared" si="2"/>
        <v>1</v>
      </c>
      <c r="H56" s="22">
        <f t="shared" si="3"/>
        <v>1</v>
      </c>
      <c r="I56" s="22">
        <f t="shared" si="4"/>
        <v>1</v>
      </c>
      <c r="K56">
        <v>9</v>
      </c>
      <c r="L56">
        <v>5</v>
      </c>
      <c r="M56">
        <v>5</v>
      </c>
      <c r="N56">
        <v>5</v>
      </c>
      <c r="O56">
        <v>5</v>
      </c>
      <c r="P56">
        <v>5</v>
      </c>
    </row>
    <row r="57" spans="1:16" x14ac:dyDescent="0.3">
      <c r="A57" s="6">
        <v>54</v>
      </c>
      <c r="B57" s="21" t="s">
        <v>214</v>
      </c>
      <c r="C57" s="21" t="s">
        <v>216</v>
      </c>
      <c r="D57" s="22">
        <f t="shared" si="5"/>
        <v>1</v>
      </c>
      <c r="E57" s="22">
        <f t="shared" si="0"/>
        <v>1</v>
      </c>
      <c r="F57" s="22">
        <f t="shared" si="1"/>
        <v>1</v>
      </c>
      <c r="G57" s="22">
        <f t="shared" si="2"/>
        <v>1</v>
      </c>
      <c r="H57" s="22">
        <f t="shared" si="3"/>
        <v>1</v>
      </c>
      <c r="I57" s="22">
        <f t="shared" si="4"/>
        <v>1</v>
      </c>
      <c r="K57">
        <v>5</v>
      </c>
      <c r="L57">
        <v>5</v>
      </c>
      <c r="M57">
        <v>5</v>
      </c>
      <c r="N57">
        <v>5</v>
      </c>
      <c r="O57">
        <v>5</v>
      </c>
      <c r="P57">
        <v>5</v>
      </c>
    </row>
    <row r="58" spans="1:16" x14ac:dyDescent="0.3">
      <c r="A58" s="6">
        <v>55</v>
      </c>
      <c r="B58" s="7"/>
      <c r="C58" s="7"/>
      <c r="D58" s="8"/>
      <c r="E58" s="8"/>
      <c r="F58" s="8"/>
      <c r="G58" s="8"/>
      <c r="H58" s="8"/>
      <c r="I58" s="8"/>
    </row>
    <row r="59" spans="1:16" x14ac:dyDescent="0.3">
      <c r="A59" s="6">
        <v>56</v>
      </c>
      <c r="B59" s="7"/>
      <c r="C59" s="7"/>
      <c r="D59" s="8"/>
      <c r="E59" s="8"/>
      <c r="F59" s="8"/>
      <c r="G59" s="8"/>
      <c r="H59" s="8"/>
      <c r="I59" s="8"/>
    </row>
    <row r="60" spans="1:16" x14ac:dyDescent="0.3">
      <c r="A60" s="6">
        <v>57</v>
      </c>
      <c r="B60" s="7"/>
      <c r="C60" s="7"/>
      <c r="D60" s="8"/>
      <c r="E60" s="8"/>
      <c r="F60" s="8"/>
      <c r="G60" s="8"/>
      <c r="H60" s="8"/>
      <c r="I60" s="8"/>
    </row>
    <row r="61" spans="1:16" x14ac:dyDescent="0.3">
      <c r="A61" s="6">
        <v>58</v>
      </c>
      <c r="B61" s="7"/>
      <c r="C61" s="7"/>
      <c r="D61" s="8"/>
      <c r="E61" s="8"/>
      <c r="F61" s="8"/>
      <c r="G61" s="8"/>
      <c r="H61" s="8"/>
      <c r="I61" s="8"/>
    </row>
    <row r="62" spans="1:16" x14ac:dyDescent="0.3">
      <c r="A62" s="6">
        <v>59</v>
      </c>
      <c r="B62" s="7"/>
      <c r="C62" s="7"/>
      <c r="D62" s="8"/>
      <c r="E62" s="8"/>
      <c r="F62" s="8"/>
      <c r="G62" s="8"/>
      <c r="H62" s="8"/>
      <c r="I62" s="8"/>
    </row>
    <row r="63" spans="1:16" x14ac:dyDescent="0.3">
      <c r="A63" s="6">
        <v>60</v>
      </c>
      <c r="B63" s="7"/>
      <c r="C63" s="7"/>
      <c r="D63" s="8"/>
      <c r="E63" s="8"/>
      <c r="F63" s="8"/>
      <c r="G63" s="8"/>
      <c r="H63" s="8"/>
      <c r="I63" s="8"/>
    </row>
    <row r="65" spans="1:9" x14ac:dyDescent="0.3">
      <c r="A65" s="26" t="s">
        <v>55</v>
      </c>
      <c r="B65" s="26"/>
      <c r="C65" s="26"/>
      <c r="D65" s="26"/>
      <c r="E65" s="26"/>
      <c r="F65" s="26"/>
      <c r="G65" s="26"/>
      <c r="H65" s="26"/>
      <c r="I65" s="26"/>
    </row>
  </sheetData>
  <mergeCells count="4">
    <mergeCell ref="A1:L1"/>
    <mergeCell ref="A65:I65"/>
    <mergeCell ref="K2:P2"/>
    <mergeCell ref="D2:I2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21"/>
  <sheetViews>
    <sheetView showGridLines="0" zoomScaleNormal="100" workbookViewId="0">
      <pane ySplit="2" topLeftCell="A649" activePane="bottomLeft" state="frozen"/>
      <selection pane="bottomLeft" activeCell="B650" sqref="B650"/>
    </sheetView>
  </sheetViews>
  <sheetFormatPr defaultColWidth="8.6640625" defaultRowHeight="14.4" x14ac:dyDescent="0.3"/>
  <cols>
    <col min="1" max="1" width="16" customWidth="1"/>
    <col min="2" max="5" width="12" customWidth="1"/>
    <col min="6" max="6" width="3" customWidth="1"/>
    <col min="7" max="7" width="16" customWidth="1"/>
    <col min="8" max="9" width="14" customWidth="1"/>
  </cols>
  <sheetData>
    <row r="1" spans="1:9" ht="24" customHeight="1" x14ac:dyDescent="0.3">
      <c r="A1" s="23" t="s">
        <v>56</v>
      </c>
      <c r="B1" s="23"/>
      <c r="C1" s="23"/>
      <c r="D1" s="23"/>
      <c r="E1" s="23"/>
      <c r="F1" s="23"/>
      <c r="G1" s="23"/>
      <c r="H1" s="23"/>
      <c r="I1" s="23"/>
    </row>
    <row r="3" spans="1:9" x14ac:dyDescent="0.3">
      <c r="A3" s="9" t="s">
        <v>57</v>
      </c>
      <c r="B3" s="28" t="str">
        <f>'Input Responden'!B4</f>
        <v>Verina</v>
      </c>
      <c r="C3" s="28"/>
      <c r="D3" s="28"/>
    </row>
    <row r="4" spans="1:9" x14ac:dyDescent="0.3">
      <c r="A4" s="10"/>
      <c r="B4" s="10" t="s">
        <v>58</v>
      </c>
      <c r="C4" s="10" t="s">
        <v>59</v>
      </c>
      <c r="D4" s="10" t="s">
        <v>60</v>
      </c>
      <c r="E4" s="10" t="s">
        <v>61</v>
      </c>
      <c r="F4" s="10"/>
      <c r="G4" s="10" t="s">
        <v>62</v>
      </c>
      <c r="H4" s="10" t="s">
        <v>63</v>
      </c>
      <c r="I4" s="10" t="s">
        <v>64</v>
      </c>
    </row>
    <row r="5" spans="1:9" x14ac:dyDescent="0.3">
      <c r="A5" s="10" t="s">
        <v>58</v>
      </c>
      <c r="B5" s="11">
        <v>1</v>
      </c>
      <c r="C5" s="11">
        <f>IF('Input Responden'!D4&gt;=0,IF('Input Responden'!D4=0,1,'Input Responden'!D4),1/ABS('Input Responden'!D4))</f>
        <v>1</v>
      </c>
      <c r="D5" s="11">
        <f>IF('Input Responden'!E4&gt;=0,IF('Input Responden'!E4=0,1,'Input Responden'!E4),1/ABS('Input Responden'!E4))</f>
        <v>1</v>
      </c>
      <c r="E5" s="11">
        <f>IF('Input Responden'!F4&gt;=0,IF('Input Responden'!F4=0,1,'Input Responden'!F4),1/ABS('Input Responden'!F4))</f>
        <v>4</v>
      </c>
      <c r="G5" s="12">
        <f>AVERAGE(B5/B$9,C5/C$9,D5/D$9,E5/E$9)</f>
        <v>0.31634615384615383</v>
      </c>
      <c r="H5" s="11">
        <f>B5*$G$5+C5*$G$6+D5*$G$7+E5*$G$8</f>
        <v>1.3778846153846154</v>
      </c>
      <c r="I5" s="11">
        <f>H5/G5</f>
        <v>4.3556231003039514</v>
      </c>
    </row>
    <row r="6" spans="1:9" x14ac:dyDescent="0.3">
      <c r="A6" s="10" t="s">
        <v>59</v>
      </c>
      <c r="B6" s="11">
        <f>1/C5</f>
        <v>1</v>
      </c>
      <c r="C6" s="11">
        <v>1</v>
      </c>
      <c r="D6" s="11">
        <f>IF('Input Responden'!G4&gt;=0,IF('Input Responden'!G4=0,1,'Input Responden'!G4),1/ABS('Input Responden'!G4))</f>
        <v>1</v>
      </c>
      <c r="E6" s="11">
        <f>IF('Input Responden'!H4&gt;=0,IF('Input Responden'!H4=0,1,'Input Responden'!H4),1/ABS('Input Responden'!H4))</f>
        <v>4</v>
      </c>
      <c r="G6" s="12">
        <f>AVERAGE(B6/B$9,C6/C$9,D6/D$9,E6/E$9)</f>
        <v>0.31634615384615383</v>
      </c>
      <c r="H6" s="11">
        <f>B6*$G$5+C6*$G$6+D6*$G$7+E6*$G$8</f>
        <v>1.3778846153846154</v>
      </c>
      <c r="I6" s="11">
        <f>H6/G6</f>
        <v>4.3556231003039514</v>
      </c>
    </row>
    <row r="7" spans="1:9" x14ac:dyDescent="0.3">
      <c r="A7" s="10" t="s">
        <v>60</v>
      </c>
      <c r="B7" s="11">
        <f>1/D5</f>
        <v>1</v>
      </c>
      <c r="C7" s="11">
        <f>1/D6</f>
        <v>1</v>
      </c>
      <c r="D7" s="11">
        <v>1</v>
      </c>
      <c r="E7" s="11">
        <f>IF('Input Responden'!I4&gt;=0,IF('Input Responden'!I4=0,1,'Input Responden'!I4),1/ABS('Input Responden'!I4))</f>
        <v>1</v>
      </c>
      <c r="G7" s="12">
        <f>AVERAGE(B7/B$9,C7/C$9,D7/D$9,E7/E$9)</f>
        <v>0.24134615384615385</v>
      </c>
      <c r="H7" s="11">
        <f>B7*$G$5+C7*$G$6+D7*$G$7+E7*$G$8</f>
        <v>1</v>
      </c>
      <c r="I7" s="11">
        <f>H7/G7</f>
        <v>4.143426294820717</v>
      </c>
    </row>
    <row r="8" spans="1:9" x14ac:dyDescent="0.3">
      <c r="A8" s="10" t="s">
        <v>61</v>
      </c>
      <c r="B8" s="11">
        <f>1/E5</f>
        <v>0.25</v>
      </c>
      <c r="C8" s="11">
        <f>1/E6</f>
        <v>0.25</v>
      </c>
      <c r="D8" s="11">
        <f>1/E7</f>
        <v>1</v>
      </c>
      <c r="E8" s="11">
        <v>1</v>
      </c>
      <c r="G8" s="12">
        <f>AVERAGE(B8/B$9,C8/C$9,D8/D$9,E8/E$9)</f>
        <v>0.12596153846153846</v>
      </c>
      <c r="H8" s="11">
        <f>B8*$G$5+C8*$G$6+D8*$G$7+E8*$G$8</f>
        <v>0.52548076923076925</v>
      </c>
      <c r="I8" s="11">
        <f>H8/G8</f>
        <v>4.1717557251908399</v>
      </c>
    </row>
    <row r="9" spans="1:9" x14ac:dyDescent="0.3">
      <c r="A9" s="13" t="s">
        <v>65</v>
      </c>
      <c r="B9" s="11">
        <f>SUM(B5:B8)</f>
        <v>3.25</v>
      </c>
      <c r="C9" s="11">
        <f>SUM(C5:C8)</f>
        <v>3.25</v>
      </c>
      <c r="D9" s="11">
        <f>SUM(D5:D8)</f>
        <v>4</v>
      </c>
      <c r="E9" s="11">
        <f>SUM(E5:E8)</f>
        <v>10</v>
      </c>
    </row>
    <row r="10" spans="1:9" x14ac:dyDescent="0.3">
      <c r="A10" s="1" t="s">
        <v>66</v>
      </c>
      <c r="G10" s="12">
        <f>AVERAGE(I5:I8)</f>
        <v>4.2566070551548645</v>
      </c>
    </row>
    <row r="11" spans="1:9" x14ac:dyDescent="0.3">
      <c r="A11" s="1" t="s">
        <v>67</v>
      </c>
      <c r="G11" s="12">
        <f>(G10-4)/(4-1)</f>
        <v>8.5535685051621499E-2</v>
      </c>
    </row>
    <row r="12" spans="1:9" x14ac:dyDescent="0.3">
      <c r="A12" s="29" t="s">
        <v>68</v>
      </c>
      <c r="B12" s="29"/>
      <c r="C12" s="29"/>
      <c r="D12" s="29"/>
      <c r="G12" s="14">
        <f>G11/0.9</f>
        <v>9.5039650057357219E-2</v>
      </c>
    </row>
    <row r="13" spans="1:9" ht="27.6" x14ac:dyDescent="0.3">
      <c r="A13" s="1" t="s">
        <v>69</v>
      </c>
      <c r="G13" s="15" t="str">
        <f>IF('Input Responden'!B4="","Belum diisi",IF(G12&lt;=0.1,"Konsisten - dipakai","Tidak Konsisten - dikecualikan"))</f>
        <v>Konsisten - dipakai</v>
      </c>
    </row>
    <row r="15" spans="1:9" x14ac:dyDescent="0.3">
      <c r="A15" s="9" t="s">
        <v>70</v>
      </c>
      <c r="B15" s="28" t="str">
        <f>'Input Responden'!B5</f>
        <v>Agung Ginansah</v>
      </c>
      <c r="C15" s="28"/>
      <c r="D15" s="28"/>
    </row>
    <row r="16" spans="1:9" x14ac:dyDescent="0.3">
      <c r="A16" s="10"/>
      <c r="B16" s="10" t="s">
        <v>58</v>
      </c>
      <c r="C16" s="10" t="s">
        <v>59</v>
      </c>
      <c r="D16" s="10" t="s">
        <v>60</v>
      </c>
      <c r="E16" s="10" t="s">
        <v>61</v>
      </c>
      <c r="F16" s="10"/>
      <c r="G16" s="10" t="s">
        <v>62</v>
      </c>
      <c r="H16" s="10" t="s">
        <v>63</v>
      </c>
      <c r="I16" s="10" t="s">
        <v>64</v>
      </c>
    </row>
    <row r="17" spans="1:9" x14ac:dyDescent="0.3">
      <c r="A17" s="10" t="s">
        <v>58</v>
      </c>
      <c r="B17" s="11">
        <v>1</v>
      </c>
      <c r="C17" s="11">
        <f>IF('Input Responden'!D5&gt;=0,IF('Input Responden'!D5=0,1,'Input Responden'!D5),1/ABS('Input Responden'!D5))</f>
        <v>0.2</v>
      </c>
      <c r="D17" s="11">
        <f>IF('Input Responden'!E5&gt;=0,IF('Input Responden'!E5=0,1,'Input Responden'!E5),1/ABS('Input Responden'!E5))</f>
        <v>0.2</v>
      </c>
      <c r="E17" s="11">
        <f>IF('Input Responden'!F5&gt;=0,IF('Input Responden'!F5=0,1,'Input Responden'!F5),1/ABS('Input Responden'!F5))</f>
        <v>1</v>
      </c>
      <c r="G17" s="12">
        <f>AVERAGE(B17/B$21,C17/C$21,D17/D$21,E17/E$21)</f>
        <v>0.1111111111111111</v>
      </c>
      <c r="H17" s="11">
        <f>B17*$G$17+C17*$G$18+D17*$G$19+E17*$G$20</f>
        <v>0.46666666666666667</v>
      </c>
      <c r="I17" s="11">
        <f>H17/G17</f>
        <v>4.2</v>
      </c>
    </row>
    <row r="18" spans="1:9" x14ac:dyDescent="0.3">
      <c r="A18" s="10" t="s">
        <v>59</v>
      </c>
      <c r="B18" s="11">
        <f>1/C17</f>
        <v>5</v>
      </c>
      <c r="C18" s="11">
        <v>1</v>
      </c>
      <c r="D18" s="11">
        <f>IF('Input Responden'!G5&gt;=0,IF('Input Responden'!G5=0,1,'Input Responden'!G5),1/ABS('Input Responden'!G5))</f>
        <v>0.2</v>
      </c>
      <c r="E18" s="11">
        <f>IF('Input Responden'!H5&gt;=0,IF('Input Responden'!H5=0,1,'Input Responden'!H5),1/ABS('Input Responden'!H5))</f>
        <v>1</v>
      </c>
      <c r="G18" s="12">
        <f>AVERAGE(B18/B$21,C18/C$21,D18/D$21,E18/E$21)</f>
        <v>0.22222222222222224</v>
      </c>
      <c r="H18" s="11">
        <f>B18*$G$17+C18*$G$18+D18*$G$19+E18*$G$20</f>
        <v>1.088888888888889</v>
      </c>
      <c r="I18" s="11">
        <f>H18/G18</f>
        <v>4.9000000000000004</v>
      </c>
    </row>
    <row r="19" spans="1:9" x14ac:dyDescent="0.3">
      <c r="A19" s="10" t="s">
        <v>60</v>
      </c>
      <c r="B19" s="11">
        <f>1/D17</f>
        <v>5</v>
      </c>
      <c r="C19" s="11">
        <f>1/D18</f>
        <v>5</v>
      </c>
      <c r="D19" s="11">
        <v>1</v>
      </c>
      <c r="E19" s="11">
        <f>IF('Input Responden'!I5&gt;=0,IF('Input Responden'!I5=0,1,'Input Responden'!I5),1/ABS('Input Responden'!I5))</f>
        <v>1</v>
      </c>
      <c r="G19" s="12">
        <f>AVERAGE(B19/B$21,C19/C$21,D19/D$21,E19/E$21)</f>
        <v>0.44444444444444448</v>
      </c>
      <c r="H19" s="11">
        <f>B19*$G$17+C19*$G$18+D19*$G$19+E19*$G$20</f>
        <v>2.3333333333333335</v>
      </c>
      <c r="I19" s="11">
        <f>H19/G19</f>
        <v>5.25</v>
      </c>
    </row>
    <row r="20" spans="1:9" x14ac:dyDescent="0.3">
      <c r="A20" s="10" t="s">
        <v>61</v>
      </c>
      <c r="B20" s="11">
        <f>1/E17</f>
        <v>1</v>
      </c>
      <c r="C20" s="11">
        <f>1/E18</f>
        <v>1</v>
      </c>
      <c r="D20" s="11">
        <f>1/E19</f>
        <v>1</v>
      </c>
      <c r="E20" s="11">
        <v>1</v>
      </c>
      <c r="G20" s="12">
        <f>AVERAGE(B20/B$21,C20/C$21,D20/D$21,E20/E$21)</f>
        <v>0.22222222222222221</v>
      </c>
      <c r="H20" s="11">
        <f>B20*$G$17+C20*$G$18+D20*$G$19+E20*$G$20</f>
        <v>1</v>
      </c>
      <c r="I20" s="11">
        <f>H20/G20</f>
        <v>4.5</v>
      </c>
    </row>
    <row r="21" spans="1:9" x14ac:dyDescent="0.3">
      <c r="A21" s="13" t="s">
        <v>65</v>
      </c>
      <c r="B21" s="11">
        <f>SUM(B17:B20)</f>
        <v>12</v>
      </c>
      <c r="C21" s="11">
        <f>SUM(C17:C20)</f>
        <v>7.2</v>
      </c>
      <c r="D21" s="11">
        <f>SUM(D17:D20)</f>
        <v>2.4</v>
      </c>
      <c r="E21" s="11">
        <f>SUM(E17:E20)</f>
        <v>4</v>
      </c>
    </row>
    <row r="22" spans="1:9" x14ac:dyDescent="0.3">
      <c r="A22" s="1" t="s">
        <v>66</v>
      </c>
      <c r="G22" s="12">
        <f>AVERAGE(I17:I20)</f>
        <v>4.7125000000000004</v>
      </c>
    </row>
    <row r="23" spans="1:9" x14ac:dyDescent="0.3">
      <c r="A23" s="1" t="s">
        <v>67</v>
      </c>
      <c r="G23" s="12">
        <f>(G22-4)/(4-1)</f>
        <v>0.23750000000000013</v>
      </c>
    </row>
    <row r="24" spans="1:9" x14ac:dyDescent="0.3">
      <c r="A24" s="29" t="s">
        <v>68</v>
      </c>
      <c r="B24" s="29"/>
      <c r="C24" s="29"/>
      <c r="D24" s="29"/>
      <c r="G24" s="14">
        <f>G23/0.9</f>
        <v>0.26388888888888901</v>
      </c>
    </row>
    <row r="25" spans="1:9" ht="41.4" x14ac:dyDescent="0.3">
      <c r="A25" s="1" t="s">
        <v>69</v>
      </c>
      <c r="G25" s="15" t="str">
        <f>IF('Input Responden'!B5="","Belum diisi",IF(G24&lt;=0.1,"Konsisten - dipakai","Tidak Konsisten - dikecualikan"))</f>
        <v>Tidak Konsisten - dikecualikan</v>
      </c>
    </row>
    <row r="27" spans="1:9" x14ac:dyDescent="0.3">
      <c r="A27" s="9" t="s">
        <v>71</v>
      </c>
      <c r="B27" s="28" t="str">
        <f>'Input Responden'!B6</f>
        <v>Andi</v>
      </c>
      <c r="C27" s="28"/>
      <c r="D27" s="28"/>
    </row>
    <row r="28" spans="1:9" x14ac:dyDescent="0.3">
      <c r="A28" s="10"/>
      <c r="B28" s="10" t="s">
        <v>58</v>
      </c>
      <c r="C28" s="10" t="s">
        <v>59</v>
      </c>
      <c r="D28" s="10" t="s">
        <v>60</v>
      </c>
      <c r="E28" s="10" t="s">
        <v>61</v>
      </c>
      <c r="F28" s="10"/>
      <c r="G28" s="10" t="s">
        <v>62</v>
      </c>
      <c r="H28" s="10" t="s">
        <v>63</v>
      </c>
      <c r="I28" s="10" t="s">
        <v>64</v>
      </c>
    </row>
    <row r="29" spans="1:9" x14ac:dyDescent="0.3">
      <c r="A29" s="10" t="s">
        <v>58</v>
      </c>
      <c r="B29" s="11">
        <v>1</v>
      </c>
      <c r="C29" s="11">
        <f>IF('Input Responden'!D6&gt;=0,IF('Input Responden'!D6=0,1,'Input Responden'!D6),1/ABS('Input Responden'!D6))</f>
        <v>0.25</v>
      </c>
      <c r="D29" s="11">
        <f>IF('Input Responden'!E6&gt;=0,IF('Input Responden'!E6=0,1,'Input Responden'!E6),1/ABS('Input Responden'!E6))</f>
        <v>0.25</v>
      </c>
      <c r="E29" s="11">
        <f>IF('Input Responden'!F6&gt;=0,IF('Input Responden'!F6=0,1,'Input Responden'!F6),1/ABS('Input Responden'!F6))</f>
        <v>0.25</v>
      </c>
      <c r="G29" s="12">
        <f>AVERAGE(B29/B$33,C29/C$33,D29/D$33,E29/E$33)</f>
        <v>7.3065448065448069E-2</v>
      </c>
      <c r="H29" s="11">
        <f>B29*$G$29+C29*$G$30+D29*$G$31+E29*$G$32</f>
        <v>0.30479908604908601</v>
      </c>
      <c r="I29" s="11">
        <f>H29/G29</f>
        <v>4.1715899117742152</v>
      </c>
    </row>
    <row r="30" spans="1:9" x14ac:dyDescent="0.3">
      <c r="A30" s="10" t="s">
        <v>59</v>
      </c>
      <c r="B30" s="11">
        <f>1/C29</f>
        <v>4</v>
      </c>
      <c r="C30" s="11">
        <v>1</v>
      </c>
      <c r="D30" s="11">
        <f>IF('Input Responden'!G6&gt;=0,IF('Input Responden'!G6=0,1,'Input Responden'!G6),1/ABS('Input Responden'!G6))</f>
        <v>0.25</v>
      </c>
      <c r="E30" s="11">
        <f>IF('Input Responden'!H6&gt;=0,IF('Input Responden'!H6=0,1,'Input Responden'!H6),1/ABS('Input Responden'!H6))</f>
        <v>0.25</v>
      </c>
      <c r="G30" s="12">
        <f>AVERAGE(B30/B$33,C30/C$33,D30/D$33,E30/E$33)</f>
        <v>0.15102802602802604</v>
      </c>
      <c r="H30" s="11">
        <f>B30*$G$29+C30*$G$30+D30*$G$31+E30*$G$32</f>
        <v>0.63726644976644975</v>
      </c>
      <c r="I30" s="11">
        <f>H30/G30</f>
        <v>4.2195244586471201</v>
      </c>
    </row>
    <row r="31" spans="1:9" x14ac:dyDescent="0.3">
      <c r="A31" s="10" t="s">
        <v>60</v>
      </c>
      <c r="B31" s="11">
        <f>1/D29</f>
        <v>4</v>
      </c>
      <c r="C31" s="11">
        <f>1/D30</f>
        <v>4</v>
      </c>
      <c r="D31" s="11">
        <v>1</v>
      </c>
      <c r="E31" s="11">
        <f>IF('Input Responden'!I6&gt;=0,IF('Input Responden'!I6=0,1,'Input Responden'!I6),1/ABS('Input Responden'!I6))</f>
        <v>0.25</v>
      </c>
      <c r="G31" s="12">
        <f>AVERAGE(B31/B$33,C31/C$33,D31/D$33,E31/E$33)</f>
        <v>0.26620001620001621</v>
      </c>
      <c r="H31" s="11">
        <f>B31*$G$29+C31*$G$30+D31*$G$31+E31*$G$32</f>
        <v>1.2900005400005399</v>
      </c>
      <c r="I31" s="11">
        <f>H31/G31</f>
        <v>4.845982199457362</v>
      </c>
    </row>
    <row r="32" spans="1:9" x14ac:dyDescent="0.3">
      <c r="A32" s="10" t="s">
        <v>61</v>
      </c>
      <c r="B32" s="11">
        <f>1/E29</f>
        <v>4</v>
      </c>
      <c r="C32" s="11">
        <f>1/E30</f>
        <v>4</v>
      </c>
      <c r="D32" s="11">
        <f>1/E31</f>
        <v>4</v>
      </c>
      <c r="E32" s="11">
        <v>1</v>
      </c>
      <c r="G32" s="12">
        <f>AVERAGE(B32/B$33,C32/C$33,D32/D$33,E32/E$33)</f>
        <v>0.50970650970650966</v>
      </c>
      <c r="H32" s="11">
        <f>B32*$G$29+C32*$G$30+D32*$G$31+E32*$G$32</f>
        <v>2.4708804708804708</v>
      </c>
      <c r="I32" s="11">
        <f>H32/G32</f>
        <v>4.8476533531094397</v>
      </c>
    </row>
    <row r="33" spans="1:9" x14ac:dyDescent="0.3">
      <c r="A33" s="13" t="s">
        <v>65</v>
      </c>
      <c r="B33" s="11">
        <f>SUM(B29:B32)</f>
        <v>13</v>
      </c>
      <c r="C33" s="11">
        <f>SUM(C29:C32)</f>
        <v>9.25</v>
      </c>
      <c r="D33" s="11">
        <f>SUM(D29:D32)</f>
        <v>5.5</v>
      </c>
      <c r="E33" s="11">
        <f>SUM(E29:E32)</f>
        <v>1.75</v>
      </c>
    </row>
    <row r="34" spans="1:9" x14ac:dyDescent="0.3">
      <c r="A34" s="1" t="s">
        <v>66</v>
      </c>
      <c r="G34" s="12">
        <f>AVERAGE(I29:I32)</f>
        <v>4.5211874807470345</v>
      </c>
    </row>
    <row r="35" spans="1:9" x14ac:dyDescent="0.3">
      <c r="A35" s="1" t="s">
        <v>67</v>
      </c>
      <c r="G35" s="12">
        <f>(G34-4)/(4-1)</f>
        <v>0.1737291602490115</v>
      </c>
    </row>
    <row r="36" spans="1:9" x14ac:dyDescent="0.3">
      <c r="A36" s="29" t="s">
        <v>68</v>
      </c>
      <c r="B36" s="29"/>
      <c r="C36" s="29"/>
      <c r="D36" s="29"/>
      <c r="G36" s="14">
        <f>G35/0.9</f>
        <v>0.19303240027667945</v>
      </c>
    </row>
    <row r="37" spans="1:9" ht="41.4" x14ac:dyDescent="0.3">
      <c r="A37" s="1" t="s">
        <v>69</v>
      </c>
      <c r="G37" s="15" t="str">
        <f>IF('Input Responden'!B6="","Belum diisi",IF(G36&lt;=0.1,"Konsisten - dipakai","Tidak Konsisten - dikecualikan"))</f>
        <v>Tidak Konsisten - dikecualikan</v>
      </c>
    </row>
    <row r="39" spans="1:9" x14ac:dyDescent="0.3">
      <c r="A39" s="9" t="s">
        <v>72</v>
      </c>
      <c r="B39" s="28" t="str">
        <f>'Input Responden'!B7</f>
        <v>Sarwo edi Wibowo</v>
      </c>
      <c r="C39" s="28"/>
      <c r="D39" s="28"/>
    </row>
    <row r="40" spans="1:9" x14ac:dyDescent="0.3">
      <c r="A40" s="10"/>
      <c r="B40" s="10" t="s">
        <v>58</v>
      </c>
      <c r="C40" s="10" t="s">
        <v>59</v>
      </c>
      <c r="D40" s="10" t="s">
        <v>60</v>
      </c>
      <c r="E40" s="10" t="s">
        <v>61</v>
      </c>
      <c r="F40" s="10"/>
      <c r="G40" s="10" t="s">
        <v>62</v>
      </c>
      <c r="H40" s="10" t="s">
        <v>63</v>
      </c>
      <c r="I40" s="10" t="s">
        <v>64</v>
      </c>
    </row>
    <row r="41" spans="1:9" x14ac:dyDescent="0.3">
      <c r="A41" s="10" t="s">
        <v>58</v>
      </c>
      <c r="B41" s="11">
        <v>1</v>
      </c>
      <c r="C41" s="11">
        <f>IF('Input Responden'!D7&gt;=0,IF('Input Responden'!D7=0,1,'Input Responden'!D7),1/ABS('Input Responden'!D7))</f>
        <v>1</v>
      </c>
      <c r="D41" s="11">
        <f>IF('Input Responden'!E7&gt;=0,IF('Input Responden'!E7=0,1,'Input Responden'!E7),1/ABS('Input Responden'!E7))</f>
        <v>1</v>
      </c>
      <c r="E41" s="11">
        <f>IF('Input Responden'!F7&gt;=0,IF('Input Responden'!F7=0,1,'Input Responden'!F7),1/ABS('Input Responden'!F7))</f>
        <v>5</v>
      </c>
      <c r="G41" s="12">
        <f>AVERAGE(B41/B$45,C41/C$45,D41/D$45,E41/E$45)</f>
        <v>0.3125</v>
      </c>
      <c r="H41" s="11">
        <f>B41*$G$41+C41*$G$42+D41*$G$43+E41*$G$44</f>
        <v>1.25</v>
      </c>
      <c r="I41" s="11">
        <f>H41/G41</f>
        <v>4</v>
      </c>
    </row>
    <row r="42" spans="1:9" x14ac:dyDescent="0.3">
      <c r="A42" s="10" t="s">
        <v>59</v>
      </c>
      <c r="B42" s="11">
        <f>1/C41</f>
        <v>1</v>
      </c>
      <c r="C42" s="11">
        <v>1</v>
      </c>
      <c r="D42" s="11">
        <f>IF('Input Responden'!G7&gt;=0,IF('Input Responden'!G7=0,1,'Input Responden'!G7),1/ABS('Input Responden'!G7))</f>
        <v>1</v>
      </c>
      <c r="E42" s="11">
        <f>IF('Input Responden'!H7&gt;=0,IF('Input Responden'!H7=0,1,'Input Responden'!H7),1/ABS('Input Responden'!H7))</f>
        <v>5</v>
      </c>
      <c r="G42" s="12">
        <f>AVERAGE(B42/B$45,C42/C$45,D42/D$45,E42/E$45)</f>
        <v>0.3125</v>
      </c>
      <c r="H42" s="11">
        <f>B42*$G$41+C42*$G$42+D42*$G$43+E42*$G$44</f>
        <v>1.25</v>
      </c>
      <c r="I42" s="11">
        <f>H42/G42</f>
        <v>4</v>
      </c>
    </row>
    <row r="43" spans="1:9" x14ac:dyDescent="0.3">
      <c r="A43" s="10" t="s">
        <v>60</v>
      </c>
      <c r="B43" s="11">
        <f>1/D41</f>
        <v>1</v>
      </c>
      <c r="C43" s="11">
        <f>1/D42</f>
        <v>1</v>
      </c>
      <c r="D43" s="11">
        <v>1</v>
      </c>
      <c r="E43" s="11">
        <f>IF('Input Responden'!I7&gt;=0,IF('Input Responden'!I7=0,1,'Input Responden'!I7),1/ABS('Input Responden'!I7))</f>
        <v>5</v>
      </c>
      <c r="G43" s="12">
        <f>AVERAGE(B43/B$45,C43/C$45,D43/D$45,E43/E$45)</f>
        <v>0.3125</v>
      </c>
      <c r="H43" s="11">
        <f>B43*$G$41+C43*$G$42+D43*$G$43+E43*$G$44</f>
        <v>1.25</v>
      </c>
      <c r="I43" s="11">
        <f>H43/G43</f>
        <v>4</v>
      </c>
    </row>
    <row r="44" spans="1:9" x14ac:dyDescent="0.3">
      <c r="A44" s="10" t="s">
        <v>61</v>
      </c>
      <c r="B44" s="11">
        <f>1/E41</f>
        <v>0.2</v>
      </c>
      <c r="C44" s="11">
        <f>1/E42</f>
        <v>0.2</v>
      </c>
      <c r="D44" s="11">
        <f>1/E43</f>
        <v>0.2</v>
      </c>
      <c r="E44" s="11">
        <v>1</v>
      </c>
      <c r="G44" s="12">
        <f>AVERAGE(B44/B$45,C44/C$45,D44/D$45,E44/E$45)</f>
        <v>6.25E-2</v>
      </c>
      <c r="H44" s="11">
        <f>B44*$G$41+C44*$G$42+D44*$G$43+E44*$G$44</f>
        <v>0.25</v>
      </c>
      <c r="I44" s="11">
        <f>H44/G44</f>
        <v>4</v>
      </c>
    </row>
    <row r="45" spans="1:9" x14ac:dyDescent="0.3">
      <c r="A45" s="13" t="s">
        <v>65</v>
      </c>
      <c r="B45" s="11">
        <f>SUM(B41:B44)</f>
        <v>3.2</v>
      </c>
      <c r="C45" s="11">
        <f>SUM(C41:C44)</f>
        <v>3.2</v>
      </c>
      <c r="D45" s="11">
        <f>SUM(D41:D44)</f>
        <v>3.2</v>
      </c>
      <c r="E45" s="11">
        <f>SUM(E41:E44)</f>
        <v>16</v>
      </c>
    </row>
    <row r="46" spans="1:9" x14ac:dyDescent="0.3">
      <c r="A46" s="1" t="s">
        <v>66</v>
      </c>
      <c r="G46" s="12">
        <f>AVERAGE(I41:I44)</f>
        <v>4</v>
      </c>
    </row>
    <row r="47" spans="1:9" x14ac:dyDescent="0.3">
      <c r="A47" s="1" t="s">
        <v>67</v>
      </c>
      <c r="G47" s="12">
        <f>(G46-4)/(4-1)</f>
        <v>0</v>
      </c>
    </row>
    <row r="48" spans="1:9" x14ac:dyDescent="0.3">
      <c r="A48" s="29" t="s">
        <v>68</v>
      </c>
      <c r="B48" s="29"/>
      <c r="C48" s="29"/>
      <c r="D48" s="29"/>
      <c r="G48" s="14">
        <f>G47/0.9</f>
        <v>0</v>
      </c>
    </row>
    <row r="49" spans="1:9" ht="27.6" x14ac:dyDescent="0.3">
      <c r="A49" s="1" t="s">
        <v>69</v>
      </c>
      <c r="G49" s="15" t="str">
        <f>IF('Input Responden'!B7="","Belum diisi",IF(G48&lt;=0.1,"Konsisten - dipakai","Tidak Konsisten - dikecualikan"))</f>
        <v>Konsisten - dipakai</v>
      </c>
    </row>
    <row r="51" spans="1:9" x14ac:dyDescent="0.3">
      <c r="A51" s="9" t="s">
        <v>73</v>
      </c>
      <c r="B51" s="28" t="str">
        <f>'Input Responden'!B8</f>
        <v>Firman Ainur Rasyit</v>
      </c>
      <c r="C51" s="28"/>
      <c r="D51" s="28"/>
    </row>
    <row r="52" spans="1:9" x14ac:dyDescent="0.3">
      <c r="A52" s="10"/>
      <c r="B52" s="10" t="s">
        <v>58</v>
      </c>
      <c r="C52" s="10" t="s">
        <v>59</v>
      </c>
      <c r="D52" s="10" t="s">
        <v>60</v>
      </c>
      <c r="E52" s="10" t="s">
        <v>61</v>
      </c>
      <c r="F52" s="10"/>
      <c r="G52" s="10" t="s">
        <v>62</v>
      </c>
      <c r="H52" s="10" t="s">
        <v>63</v>
      </c>
      <c r="I52" s="10" t="s">
        <v>64</v>
      </c>
    </row>
    <row r="53" spans="1:9" x14ac:dyDescent="0.3">
      <c r="A53" s="10" t="s">
        <v>58</v>
      </c>
      <c r="B53" s="11">
        <v>1</v>
      </c>
      <c r="C53" s="11">
        <f>IF('Input Responden'!D8&gt;=0,IF('Input Responden'!D8=0,1,'Input Responden'!D8),1/ABS('Input Responden'!D8))</f>
        <v>5</v>
      </c>
      <c r="D53" s="11">
        <f>IF('Input Responden'!E8&gt;=0,IF('Input Responden'!E8=0,1,'Input Responden'!E8),1/ABS('Input Responden'!E8))</f>
        <v>5</v>
      </c>
      <c r="E53" s="11">
        <f>IF('Input Responden'!F8&gt;=0,IF('Input Responden'!F8=0,1,'Input Responden'!F8),1/ABS('Input Responden'!F8))</f>
        <v>5</v>
      </c>
      <c r="G53" s="12">
        <f>AVERAGE(B53/B$57,C53/C$57,D53/D$57,E53/E$57)</f>
        <v>0.54563492063492069</v>
      </c>
      <c r="H53" s="11">
        <f>B53*$G$53+C53*$G$54+D53*$G$55+E53*$G$56</f>
        <v>2.8174603174603177</v>
      </c>
      <c r="I53" s="11">
        <f>H53/G53</f>
        <v>5.1636363636363631</v>
      </c>
    </row>
    <row r="54" spans="1:9" x14ac:dyDescent="0.3">
      <c r="A54" s="10" t="s">
        <v>59</v>
      </c>
      <c r="B54" s="11">
        <f>1/C53</f>
        <v>0.2</v>
      </c>
      <c r="C54" s="11">
        <v>1</v>
      </c>
      <c r="D54" s="11">
        <f>IF('Input Responden'!G8&gt;=0,IF('Input Responden'!G8=0,1,'Input Responden'!G8),1/ABS('Input Responden'!G8))</f>
        <v>5</v>
      </c>
      <c r="E54" s="11">
        <f>IF('Input Responden'!H8&gt;=0,IF('Input Responden'!H8=0,1,'Input Responden'!H8),1/ABS('Input Responden'!H8))</f>
        <v>0.2</v>
      </c>
      <c r="G54" s="12">
        <f>AVERAGE(B54/B$57,C54/C$57,D54/D$57,E54/E$57)</f>
        <v>0.16468253968253968</v>
      </c>
      <c r="H54" s="11">
        <f>B54*$G$53+C54*$G$54+D54*$G$55+E54*$G$56</f>
        <v>0.76984126984126988</v>
      </c>
      <c r="I54" s="11">
        <f>H54/G54</f>
        <v>4.6746987951807233</v>
      </c>
    </row>
    <row r="55" spans="1:9" x14ac:dyDescent="0.3">
      <c r="A55" s="10" t="s">
        <v>60</v>
      </c>
      <c r="B55" s="11">
        <f>1/D53</f>
        <v>0.2</v>
      </c>
      <c r="C55" s="11">
        <f>1/D54</f>
        <v>0.2</v>
      </c>
      <c r="D55" s="11">
        <v>1</v>
      </c>
      <c r="E55" s="11">
        <f>IF('Input Responden'!I8&gt;=0,IF('Input Responden'!I8=0,1,'Input Responden'!I8),1/ABS('Input Responden'!I8))</f>
        <v>1</v>
      </c>
      <c r="G55" s="12">
        <f>AVERAGE(B55/B$57,C55/C$57,D55/D$57,E55/E$57)</f>
        <v>9.1269841269841279E-2</v>
      </c>
      <c r="H55" s="11">
        <f>B55*$G$53+C55*$G$54+D55*$G$55+E55*$G$56</f>
        <v>0.43174603174603177</v>
      </c>
      <c r="I55" s="11">
        <f>H55/G55</f>
        <v>4.730434782608695</v>
      </c>
    </row>
    <row r="56" spans="1:9" x14ac:dyDescent="0.3">
      <c r="A56" s="10" t="s">
        <v>61</v>
      </c>
      <c r="B56" s="11">
        <f>1/E53</f>
        <v>0.2</v>
      </c>
      <c r="C56" s="11">
        <f>1/E54</f>
        <v>5</v>
      </c>
      <c r="D56" s="11">
        <f>1/E55</f>
        <v>1</v>
      </c>
      <c r="E56" s="11">
        <v>1</v>
      </c>
      <c r="G56" s="12">
        <f>AVERAGE(B56/B$57,C56/C$57,D56/D$57,E56/E$57)</f>
        <v>0.19841269841269843</v>
      </c>
      <c r="H56" s="11">
        <f>B56*$G$53+C56*$G$54+D56*$G$55+E56*$G$56</f>
        <v>1.2222222222222221</v>
      </c>
      <c r="I56" s="11">
        <f>H56/G56</f>
        <v>6.1599999999999993</v>
      </c>
    </row>
    <row r="57" spans="1:9" x14ac:dyDescent="0.3">
      <c r="A57" s="13" t="s">
        <v>65</v>
      </c>
      <c r="B57" s="11">
        <f>SUM(B53:B56)</f>
        <v>1.5999999999999999</v>
      </c>
      <c r="C57" s="11">
        <f>SUM(C53:C56)</f>
        <v>11.2</v>
      </c>
      <c r="D57" s="11">
        <f>SUM(D53:D56)</f>
        <v>12</v>
      </c>
      <c r="E57" s="11">
        <f>SUM(E53:E56)</f>
        <v>7.2</v>
      </c>
    </row>
    <row r="58" spans="1:9" x14ac:dyDescent="0.3">
      <c r="A58" s="1" t="s">
        <v>66</v>
      </c>
      <c r="G58" s="12">
        <f>AVERAGE(I53:I56)</f>
        <v>5.1821924853564454</v>
      </c>
    </row>
    <row r="59" spans="1:9" x14ac:dyDescent="0.3">
      <c r="A59" s="1" t="s">
        <v>67</v>
      </c>
      <c r="G59" s="12">
        <f>(G58-4)/(4-1)</f>
        <v>0.39406416178548181</v>
      </c>
    </row>
    <row r="60" spans="1:9" x14ac:dyDescent="0.3">
      <c r="A60" s="29" t="s">
        <v>68</v>
      </c>
      <c r="B60" s="29"/>
      <c r="C60" s="29"/>
      <c r="D60" s="29"/>
      <c r="G60" s="14">
        <f>G59/0.9</f>
        <v>0.43784906865053536</v>
      </c>
    </row>
    <row r="61" spans="1:9" ht="41.4" x14ac:dyDescent="0.3">
      <c r="A61" s="1" t="s">
        <v>69</v>
      </c>
      <c r="G61" s="15" t="str">
        <f>IF('Input Responden'!B8="","Belum diisi",IF(G60&lt;=0.1,"Konsisten - dipakai","Tidak Konsisten - dikecualikan"))</f>
        <v>Tidak Konsisten - dikecualikan</v>
      </c>
    </row>
    <row r="63" spans="1:9" x14ac:dyDescent="0.3">
      <c r="A63" s="9" t="s">
        <v>74</v>
      </c>
      <c r="B63" s="28" t="str">
        <f>'Input Responden'!B9</f>
        <v>Deny</v>
      </c>
      <c r="C63" s="28"/>
      <c r="D63" s="28"/>
    </row>
    <row r="64" spans="1:9" x14ac:dyDescent="0.3">
      <c r="A64" s="10"/>
      <c r="B64" s="10" t="s">
        <v>58</v>
      </c>
      <c r="C64" s="10" t="s">
        <v>59</v>
      </c>
      <c r="D64" s="10" t="s">
        <v>60</v>
      </c>
      <c r="E64" s="10" t="s">
        <v>61</v>
      </c>
      <c r="F64" s="10"/>
      <c r="G64" s="10" t="s">
        <v>62</v>
      </c>
      <c r="H64" s="10" t="s">
        <v>63</v>
      </c>
      <c r="I64" s="10" t="s">
        <v>64</v>
      </c>
    </row>
    <row r="65" spans="1:9" x14ac:dyDescent="0.3">
      <c r="A65" s="10" t="s">
        <v>58</v>
      </c>
      <c r="B65" s="11">
        <v>1</v>
      </c>
      <c r="C65" s="11">
        <f>IF('Input Responden'!D9&gt;=0,IF('Input Responden'!D9=0,1,'Input Responden'!D9),1/ABS('Input Responden'!D9))</f>
        <v>1</v>
      </c>
      <c r="D65" s="11">
        <f>IF('Input Responden'!E9&gt;=0,IF('Input Responden'!E9=0,1,'Input Responden'!E9),1/ABS('Input Responden'!E9))</f>
        <v>0.25</v>
      </c>
      <c r="E65" s="11">
        <f>IF('Input Responden'!F9&gt;=0,IF('Input Responden'!F9=0,1,'Input Responden'!F9),1/ABS('Input Responden'!F9))</f>
        <v>4</v>
      </c>
      <c r="G65" s="12">
        <f>AVERAGE(B65/B$69,C65/C$69,D65/D$69,E65/E$69)</f>
        <v>0.21884615384615386</v>
      </c>
      <c r="H65" s="11">
        <f>B65*$G$65+C65*$G$66+D65*$G$67+E65*$G$68</f>
        <v>0.91000000000000014</v>
      </c>
      <c r="I65" s="11">
        <f>H65/G65</f>
        <v>4.1581722319859411</v>
      </c>
    </row>
    <row r="66" spans="1:9" x14ac:dyDescent="0.3">
      <c r="A66" s="10" t="s">
        <v>59</v>
      </c>
      <c r="B66" s="11">
        <f>1/C65</f>
        <v>1</v>
      </c>
      <c r="C66" s="11">
        <v>1</v>
      </c>
      <c r="D66" s="11">
        <f>IF('Input Responden'!G9&gt;=0,IF('Input Responden'!G9=0,1,'Input Responden'!G9),1/ABS('Input Responden'!G9))</f>
        <v>1</v>
      </c>
      <c r="E66" s="11">
        <f>IF('Input Responden'!H9&gt;=0,IF('Input Responden'!H9=0,1,'Input Responden'!H9),1/ABS('Input Responden'!H9))</f>
        <v>4</v>
      </c>
      <c r="G66" s="12">
        <f>AVERAGE(B66/B$69,C66/C$69,D66/D$69,E66/E$69)</f>
        <v>0.29384615384615387</v>
      </c>
      <c r="H66" s="11">
        <f>B66*$G$65+C66*$G$66+D66*$G$67+E66*$G$68</f>
        <v>1.2203846153846154</v>
      </c>
      <c r="I66" s="11">
        <f>H66/G66</f>
        <v>4.1531413612565444</v>
      </c>
    </row>
    <row r="67" spans="1:9" x14ac:dyDescent="0.3">
      <c r="A67" s="10" t="s">
        <v>60</v>
      </c>
      <c r="B67" s="11">
        <f>1/D65</f>
        <v>4</v>
      </c>
      <c r="C67" s="11">
        <f>1/D66</f>
        <v>1</v>
      </c>
      <c r="D67" s="11">
        <v>1</v>
      </c>
      <c r="E67" s="11">
        <f>IF('Input Responden'!I9&gt;=0,IF('Input Responden'!I9=0,1,'Input Responden'!I9),1/ABS('Input Responden'!I9))</f>
        <v>4</v>
      </c>
      <c r="G67" s="12">
        <f>AVERAGE(B67/B$69,C67/C$69,D67/D$69,E67/E$69)</f>
        <v>0.41384615384615386</v>
      </c>
      <c r="H67" s="11">
        <f>B67*$G$65+C67*$G$66+D67*$G$67+E67*$G$68</f>
        <v>1.8769230769230769</v>
      </c>
      <c r="I67" s="11">
        <f>H67/G67</f>
        <v>4.5353159851301115</v>
      </c>
    </row>
    <row r="68" spans="1:9" x14ac:dyDescent="0.3">
      <c r="A68" s="10" t="s">
        <v>61</v>
      </c>
      <c r="B68" s="11">
        <f>1/E65</f>
        <v>0.25</v>
      </c>
      <c r="C68" s="11">
        <f>1/E66</f>
        <v>0.25</v>
      </c>
      <c r="D68" s="11">
        <f>1/E67</f>
        <v>0.25</v>
      </c>
      <c r="E68" s="11">
        <v>1</v>
      </c>
      <c r="G68" s="12">
        <f>AVERAGE(B68/B$69,C68/C$69,D68/D$69,E68/E$69)</f>
        <v>7.3461538461538467E-2</v>
      </c>
      <c r="H68" s="11">
        <f>B68*$G$65+C68*$G$66+D68*$G$67+E68*$G$68</f>
        <v>0.30509615384615385</v>
      </c>
      <c r="I68" s="11">
        <f>H68/G68</f>
        <v>4.1531413612565444</v>
      </c>
    </row>
    <row r="69" spans="1:9" x14ac:dyDescent="0.3">
      <c r="A69" s="13" t="s">
        <v>65</v>
      </c>
      <c r="B69" s="11">
        <f>SUM(B65:B68)</f>
        <v>6.25</v>
      </c>
      <c r="C69" s="11">
        <f>SUM(C65:C68)</f>
        <v>3.25</v>
      </c>
      <c r="D69" s="11">
        <f>SUM(D65:D68)</f>
        <v>2.5</v>
      </c>
      <c r="E69" s="11">
        <f>SUM(E65:E68)</f>
        <v>13</v>
      </c>
    </row>
    <row r="70" spans="1:9" x14ac:dyDescent="0.3">
      <c r="A70" s="1" t="s">
        <v>66</v>
      </c>
      <c r="G70" s="12">
        <f>AVERAGE(I65:I68)</f>
        <v>4.2499427349072851</v>
      </c>
    </row>
    <row r="71" spans="1:9" x14ac:dyDescent="0.3">
      <c r="A71" s="1" t="s">
        <v>67</v>
      </c>
      <c r="G71" s="12">
        <f>(G70-4)/(4-1)</f>
        <v>8.331424496909505E-2</v>
      </c>
    </row>
    <row r="72" spans="1:9" x14ac:dyDescent="0.3">
      <c r="A72" s="29" t="s">
        <v>68</v>
      </c>
      <c r="B72" s="29"/>
      <c r="C72" s="29"/>
      <c r="D72" s="29"/>
      <c r="G72" s="14">
        <f>G71/0.9</f>
        <v>9.2571383298994503E-2</v>
      </c>
    </row>
    <row r="73" spans="1:9" ht="27.6" x14ac:dyDescent="0.3">
      <c r="A73" s="1" t="s">
        <v>69</v>
      </c>
      <c r="G73" s="15" t="str">
        <f>IF('Input Responden'!B9="","Belum diisi",IF(G72&lt;=0.1,"Konsisten - dipakai","Tidak Konsisten - dikecualikan"))</f>
        <v>Konsisten - dipakai</v>
      </c>
    </row>
    <row r="75" spans="1:9" x14ac:dyDescent="0.3">
      <c r="A75" s="9" t="s">
        <v>75</v>
      </c>
      <c r="B75" s="28" t="str">
        <f>'Input Responden'!B10</f>
        <v>Eko Sukamto</v>
      </c>
      <c r="C75" s="28"/>
      <c r="D75" s="28"/>
    </row>
    <row r="76" spans="1:9" x14ac:dyDescent="0.3">
      <c r="A76" s="10"/>
      <c r="B76" s="10" t="s">
        <v>58</v>
      </c>
      <c r="C76" s="10" t="s">
        <v>59</v>
      </c>
      <c r="D76" s="10" t="s">
        <v>60</v>
      </c>
      <c r="E76" s="10" t="s">
        <v>61</v>
      </c>
      <c r="F76" s="10"/>
      <c r="G76" s="10" t="s">
        <v>62</v>
      </c>
      <c r="H76" s="10" t="s">
        <v>63</v>
      </c>
      <c r="I76" s="10" t="s">
        <v>64</v>
      </c>
    </row>
    <row r="77" spans="1:9" x14ac:dyDescent="0.3">
      <c r="A77" s="10" t="s">
        <v>58</v>
      </c>
      <c r="B77" s="11">
        <v>1</v>
      </c>
      <c r="C77" s="11">
        <f>IF('Input Responden'!D10&gt;=0,IF('Input Responden'!D10=0,1,'Input Responden'!D10),1/ABS('Input Responden'!D10))</f>
        <v>1</v>
      </c>
      <c r="D77" s="11">
        <f>IF('Input Responden'!E10&gt;=0,IF('Input Responden'!E10=0,1,'Input Responden'!E10),1/ABS('Input Responden'!E10))</f>
        <v>1</v>
      </c>
      <c r="E77" s="11">
        <f>IF('Input Responden'!F10&gt;=0,IF('Input Responden'!F10=0,1,'Input Responden'!F10),1/ABS('Input Responden'!F10))</f>
        <v>1</v>
      </c>
      <c r="G77" s="12">
        <f>AVERAGE(B77/B$81,C77/C$81,D77/D$81,E77/E$81)</f>
        <v>0.25</v>
      </c>
      <c r="H77" s="11">
        <f>B77*$G$77+C77*$G$78+D77*$G$79+E77*$G$80</f>
        <v>1</v>
      </c>
      <c r="I77" s="11">
        <f>H77/G77</f>
        <v>4</v>
      </c>
    </row>
    <row r="78" spans="1:9" x14ac:dyDescent="0.3">
      <c r="A78" s="10" t="s">
        <v>59</v>
      </c>
      <c r="B78" s="11">
        <f>1/C77</f>
        <v>1</v>
      </c>
      <c r="C78" s="11">
        <v>1</v>
      </c>
      <c r="D78" s="11">
        <f>IF('Input Responden'!G10&gt;=0,IF('Input Responden'!G10=0,1,'Input Responden'!G10),1/ABS('Input Responden'!G10))</f>
        <v>1</v>
      </c>
      <c r="E78" s="11">
        <f>IF('Input Responden'!H10&gt;=0,IF('Input Responden'!H10=0,1,'Input Responden'!H10),1/ABS('Input Responden'!H10))</f>
        <v>1</v>
      </c>
      <c r="G78" s="12">
        <f>AVERAGE(B78/B$81,C78/C$81,D78/D$81,E78/E$81)</f>
        <v>0.25</v>
      </c>
      <c r="H78" s="11">
        <f>B78*$G$77+C78*$G$78+D78*$G$79+E78*$G$80</f>
        <v>1</v>
      </c>
      <c r="I78" s="11">
        <f>H78/G78</f>
        <v>4</v>
      </c>
    </row>
    <row r="79" spans="1:9" x14ac:dyDescent="0.3">
      <c r="A79" s="10" t="s">
        <v>60</v>
      </c>
      <c r="B79" s="11">
        <f>1/D77</f>
        <v>1</v>
      </c>
      <c r="C79" s="11">
        <f>1/D78</f>
        <v>1</v>
      </c>
      <c r="D79" s="11">
        <v>1</v>
      </c>
      <c r="E79" s="11">
        <f>IF('Input Responden'!I10&gt;=0,IF('Input Responden'!I10=0,1,'Input Responden'!I10),1/ABS('Input Responden'!I10))</f>
        <v>1</v>
      </c>
      <c r="G79" s="12">
        <f>AVERAGE(B79/B$81,C79/C$81,D79/D$81,E79/E$81)</f>
        <v>0.25</v>
      </c>
      <c r="H79" s="11">
        <f>B79*$G$77+C79*$G$78+D79*$G$79+E79*$G$80</f>
        <v>1</v>
      </c>
      <c r="I79" s="11">
        <f>H79/G79</f>
        <v>4</v>
      </c>
    </row>
    <row r="80" spans="1:9" x14ac:dyDescent="0.3">
      <c r="A80" s="10" t="s">
        <v>61</v>
      </c>
      <c r="B80" s="11">
        <f>1/E77</f>
        <v>1</v>
      </c>
      <c r="C80" s="11">
        <f>1/E78</f>
        <v>1</v>
      </c>
      <c r="D80" s="11">
        <f>1/E79</f>
        <v>1</v>
      </c>
      <c r="E80" s="11">
        <v>1</v>
      </c>
      <c r="G80" s="12">
        <f>AVERAGE(B80/B$81,C80/C$81,D80/D$81,E80/E$81)</f>
        <v>0.25</v>
      </c>
      <c r="H80" s="11">
        <f>B80*$G$77+C80*$G$78+D80*$G$79+E80*$G$80</f>
        <v>1</v>
      </c>
      <c r="I80" s="11">
        <f>H80/G80</f>
        <v>4</v>
      </c>
    </row>
    <row r="81" spans="1:9" x14ac:dyDescent="0.3">
      <c r="A81" s="13" t="s">
        <v>65</v>
      </c>
      <c r="B81" s="11">
        <f>SUM(B77:B80)</f>
        <v>4</v>
      </c>
      <c r="C81" s="11">
        <f>SUM(C77:C80)</f>
        <v>4</v>
      </c>
      <c r="D81" s="11">
        <f>SUM(D77:D80)</f>
        <v>4</v>
      </c>
      <c r="E81" s="11">
        <f>SUM(E77:E80)</f>
        <v>4</v>
      </c>
    </row>
    <row r="82" spans="1:9" x14ac:dyDescent="0.3">
      <c r="A82" s="1" t="s">
        <v>66</v>
      </c>
      <c r="G82" s="12">
        <f>AVERAGE(I77:I80)</f>
        <v>4</v>
      </c>
    </row>
    <row r="83" spans="1:9" x14ac:dyDescent="0.3">
      <c r="A83" s="1" t="s">
        <v>67</v>
      </c>
      <c r="G83" s="12">
        <f>(G82-4)/(4-1)</f>
        <v>0</v>
      </c>
    </row>
    <row r="84" spans="1:9" x14ac:dyDescent="0.3">
      <c r="A84" s="29" t="s">
        <v>68</v>
      </c>
      <c r="B84" s="29"/>
      <c r="C84" s="29"/>
      <c r="D84" s="29"/>
      <c r="G84" s="14">
        <f>G83/0.9</f>
        <v>0</v>
      </c>
    </row>
    <row r="85" spans="1:9" ht="27.6" x14ac:dyDescent="0.3">
      <c r="A85" s="1" t="s">
        <v>69</v>
      </c>
      <c r="G85" s="15" t="str">
        <f>IF('Input Responden'!B10="","Belum diisi",IF(G84&lt;=0.1,"Konsisten - dipakai","Tidak Konsisten - dikecualikan"))</f>
        <v>Konsisten - dipakai</v>
      </c>
    </row>
    <row r="87" spans="1:9" x14ac:dyDescent="0.3">
      <c r="A87" s="9" t="s">
        <v>76</v>
      </c>
      <c r="B87" s="28" t="str">
        <f>'Input Responden'!B11</f>
        <v>FERI HARIYANTO</v>
      </c>
      <c r="C87" s="28"/>
      <c r="D87" s="28"/>
    </row>
    <row r="88" spans="1:9" x14ac:dyDescent="0.3">
      <c r="A88" s="10"/>
      <c r="B88" s="10" t="s">
        <v>58</v>
      </c>
      <c r="C88" s="10" t="s">
        <v>59</v>
      </c>
      <c r="D88" s="10" t="s">
        <v>60</v>
      </c>
      <c r="E88" s="10" t="s">
        <v>61</v>
      </c>
      <c r="F88" s="10"/>
      <c r="G88" s="10" t="s">
        <v>62</v>
      </c>
      <c r="H88" s="10" t="s">
        <v>63</v>
      </c>
      <c r="I88" s="10" t="s">
        <v>64</v>
      </c>
    </row>
    <row r="89" spans="1:9" x14ac:dyDescent="0.3">
      <c r="A89" s="10" t="s">
        <v>58</v>
      </c>
      <c r="B89" s="11">
        <v>1</v>
      </c>
      <c r="C89" s="11">
        <f>IF('Input Responden'!D11&gt;=0,IF('Input Responden'!D11=0,1,'Input Responden'!D11),1/ABS('Input Responden'!D11))</f>
        <v>1</v>
      </c>
      <c r="D89" s="11">
        <f>IF('Input Responden'!E11&gt;=0,IF('Input Responden'!E11=0,1,'Input Responden'!E11),1/ABS('Input Responden'!E11))</f>
        <v>2</v>
      </c>
      <c r="E89" s="11">
        <f>IF('Input Responden'!F11&gt;=0,IF('Input Responden'!F11=0,1,'Input Responden'!F11),1/ABS('Input Responden'!F11))</f>
        <v>4</v>
      </c>
      <c r="G89" s="12">
        <f>AVERAGE(B89/B$93,C89/C$93,D89/D$93,E89/E$93)</f>
        <v>0.39090909090909093</v>
      </c>
      <c r="H89" s="11">
        <f>B89*$G$89+C89*$G$90+D89*$G$91+E89*$G$92</f>
        <v>1.6761363636363638</v>
      </c>
      <c r="I89" s="11">
        <f>H89/G89</f>
        <v>4.2877906976744189</v>
      </c>
    </row>
    <row r="90" spans="1:9" x14ac:dyDescent="0.3">
      <c r="A90" s="10" t="s">
        <v>59</v>
      </c>
      <c r="B90" s="11">
        <f>1/C89</f>
        <v>1</v>
      </c>
      <c r="C90" s="11">
        <v>1</v>
      </c>
      <c r="D90" s="11">
        <f>IF('Input Responden'!G11&gt;=0,IF('Input Responden'!G11=0,1,'Input Responden'!G11),1/ABS('Input Responden'!G11))</f>
        <v>0.5</v>
      </c>
      <c r="E90" s="11">
        <f>IF('Input Responden'!H11&gt;=0,IF('Input Responden'!H11=0,1,'Input Responden'!H11),1/ABS('Input Responden'!H11))</f>
        <v>1</v>
      </c>
      <c r="G90" s="12">
        <f>AVERAGE(B90/B$93,C90/C$93,D90/D$93,E90/E$93)</f>
        <v>0.20340909090909093</v>
      </c>
      <c r="H90" s="11">
        <f>B90*$G$89+C90*$G$90+D90*$G$91+E90*$G$92</f>
        <v>0.86477272727272736</v>
      </c>
      <c r="I90" s="11">
        <f>H90/G90</f>
        <v>4.2513966480446932</v>
      </c>
    </row>
    <row r="91" spans="1:9" x14ac:dyDescent="0.3">
      <c r="A91" s="10" t="s">
        <v>60</v>
      </c>
      <c r="B91" s="11">
        <f>1/D89</f>
        <v>0.5</v>
      </c>
      <c r="C91" s="11">
        <f>1/D90</f>
        <v>2</v>
      </c>
      <c r="D91" s="11">
        <v>1</v>
      </c>
      <c r="E91" s="11">
        <f>IF('Input Responden'!I11&gt;=0,IF('Input Responden'!I11=0,1,'Input Responden'!I11),1/ABS('Input Responden'!I11))</f>
        <v>2</v>
      </c>
      <c r="G91" s="12">
        <f>AVERAGE(B91/B$93,C91/C$93,D91/D$93,E91/E$93)</f>
        <v>0.27045454545454545</v>
      </c>
      <c r="H91" s="11">
        <f>B91*$G$89+C91*$G$90+D91*$G$91+E91*$G$92</f>
        <v>1.1431818181818183</v>
      </c>
      <c r="I91" s="11">
        <f>H91/G91</f>
        <v>4.226890756302522</v>
      </c>
    </row>
    <row r="92" spans="1:9" x14ac:dyDescent="0.3">
      <c r="A92" s="10" t="s">
        <v>61</v>
      </c>
      <c r="B92" s="11">
        <f>1/E89</f>
        <v>0.25</v>
      </c>
      <c r="C92" s="11">
        <f>1/E90</f>
        <v>1</v>
      </c>
      <c r="D92" s="11">
        <f>1/E91</f>
        <v>0.5</v>
      </c>
      <c r="E92" s="11">
        <v>1</v>
      </c>
      <c r="G92" s="12">
        <f>AVERAGE(B92/B$93,C92/C$93,D92/D$93,E92/E$93)</f>
        <v>0.13522727272727272</v>
      </c>
      <c r="H92" s="11">
        <f>B92*$G$89+C92*$G$90+D92*$G$91+E92*$G$92</f>
        <v>0.57159090909090915</v>
      </c>
      <c r="I92" s="11">
        <f>H92/G92</f>
        <v>4.226890756302522</v>
      </c>
    </row>
    <row r="93" spans="1:9" x14ac:dyDescent="0.3">
      <c r="A93" s="13" t="s">
        <v>65</v>
      </c>
      <c r="B93" s="11">
        <f>SUM(B89:B92)</f>
        <v>2.75</v>
      </c>
      <c r="C93" s="11">
        <f>SUM(C89:C92)</f>
        <v>5</v>
      </c>
      <c r="D93" s="11">
        <f>SUM(D89:D92)</f>
        <v>4</v>
      </c>
      <c r="E93" s="11">
        <f>SUM(E89:E92)</f>
        <v>8</v>
      </c>
    </row>
    <row r="94" spans="1:9" x14ac:dyDescent="0.3">
      <c r="A94" s="1" t="s">
        <v>66</v>
      </c>
      <c r="G94" s="12">
        <f>AVERAGE(I89:I92)</f>
        <v>4.2482422145810386</v>
      </c>
    </row>
    <row r="95" spans="1:9" x14ac:dyDescent="0.3">
      <c r="A95" s="1" t="s">
        <v>67</v>
      </c>
      <c r="G95" s="12">
        <f>(G94-4)/(4-1)</f>
        <v>8.2747404860346194E-2</v>
      </c>
    </row>
    <row r="96" spans="1:9" x14ac:dyDescent="0.3">
      <c r="A96" s="29" t="s">
        <v>68</v>
      </c>
      <c r="B96" s="29"/>
      <c r="C96" s="29"/>
      <c r="D96" s="29"/>
      <c r="G96" s="14">
        <f>G95/0.9</f>
        <v>9.1941560955940208E-2</v>
      </c>
    </row>
    <row r="97" spans="1:9" ht="27.6" x14ac:dyDescent="0.3">
      <c r="A97" s="1" t="s">
        <v>69</v>
      </c>
      <c r="G97" s="15" t="str">
        <f>IF('Input Responden'!B11="","Belum diisi",IF(G96&lt;=0.1,"Konsisten - dipakai","Tidak Konsisten - dikecualikan"))</f>
        <v>Konsisten - dipakai</v>
      </c>
    </row>
    <row r="99" spans="1:9" x14ac:dyDescent="0.3">
      <c r="A99" s="9" t="s">
        <v>77</v>
      </c>
      <c r="B99" s="28" t="str">
        <f>'Input Responden'!B12</f>
        <v>Glanny Sosbeldab Tatali</v>
      </c>
      <c r="C99" s="28"/>
      <c r="D99" s="28"/>
    </row>
    <row r="100" spans="1:9" x14ac:dyDescent="0.3">
      <c r="A100" s="10"/>
      <c r="B100" s="10" t="s">
        <v>58</v>
      </c>
      <c r="C100" s="10" t="s">
        <v>59</v>
      </c>
      <c r="D100" s="10" t="s">
        <v>60</v>
      </c>
      <c r="E100" s="10" t="s">
        <v>61</v>
      </c>
      <c r="F100" s="10"/>
      <c r="G100" s="10" t="s">
        <v>62</v>
      </c>
      <c r="H100" s="10" t="s">
        <v>63</v>
      </c>
      <c r="I100" s="10" t="s">
        <v>64</v>
      </c>
    </row>
    <row r="101" spans="1:9" x14ac:dyDescent="0.3">
      <c r="A101" s="10" t="s">
        <v>58</v>
      </c>
      <c r="B101" s="11">
        <v>1</v>
      </c>
      <c r="C101" s="11">
        <f>IF('Input Responden'!D12&gt;=0,IF('Input Responden'!D12=0,1,'Input Responden'!D12),1/ABS('Input Responden'!D12))</f>
        <v>1</v>
      </c>
      <c r="D101" s="11">
        <f>IF('Input Responden'!E12&gt;=0,IF('Input Responden'!E12=0,1,'Input Responden'!E12),1/ABS('Input Responden'!E12))</f>
        <v>1</v>
      </c>
      <c r="E101" s="11">
        <f>IF('Input Responden'!F12&gt;=0,IF('Input Responden'!F12=0,1,'Input Responden'!F12),1/ABS('Input Responden'!F12))</f>
        <v>1</v>
      </c>
      <c r="G101" s="12">
        <f>AVERAGE(B101/B$105,C101/C$105,D101/D$105,E101/E$105)</f>
        <v>0.23958333333333334</v>
      </c>
      <c r="H101" s="11">
        <f>B101*$G$101+C101*$G$102+D101*$G$103+E101*$G$104</f>
        <v>1</v>
      </c>
      <c r="I101" s="11">
        <f>H101/G101</f>
        <v>4.1739130434782608</v>
      </c>
    </row>
    <row r="102" spans="1:9" x14ac:dyDescent="0.3">
      <c r="A102" s="10" t="s">
        <v>59</v>
      </c>
      <c r="B102" s="11">
        <f>1/C101</f>
        <v>1</v>
      </c>
      <c r="C102" s="11">
        <v>1</v>
      </c>
      <c r="D102" s="11">
        <f>IF('Input Responden'!G12&gt;=0,IF('Input Responden'!G12=0,1,'Input Responden'!G12),1/ABS('Input Responden'!G12))</f>
        <v>1</v>
      </c>
      <c r="E102" s="11">
        <f>IF('Input Responden'!H12&gt;=0,IF('Input Responden'!H12=0,1,'Input Responden'!H12),1/ABS('Input Responden'!H12))</f>
        <v>5</v>
      </c>
      <c r="G102" s="12">
        <f>AVERAGE(B102/B$105,C102/C$105,D102/D$105,E102/E$105)</f>
        <v>0.32291666666666669</v>
      </c>
      <c r="H102" s="11">
        <f>B102*$G$101+C102*$G$102+D102*$G$103+E102*$G$104</f>
        <v>1.4583333333333335</v>
      </c>
      <c r="I102" s="11">
        <f>H102/G102</f>
        <v>4.5161290322580649</v>
      </c>
    </row>
    <row r="103" spans="1:9" x14ac:dyDescent="0.3">
      <c r="A103" s="10" t="s">
        <v>60</v>
      </c>
      <c r="B103" s="11">
        <f>1/D101</f>
        <v>1</v>
      </c>
      <c r="C103" s="11">
        <f>1/D102</f>
        <v>1</v>
      </c>
      <c r="D103" s="11">
        <v>1</v>
      </c>
      <c r="E103" s="11">
        <f>IF('Input Responden'!I12&gt;=0,IF('Input Responden'!I12=0,1,'Input Responden'!I12),1/ABS('Input Responden'!I12))</f>
        <v>5</v>
      </c>
      <c r="G103" s="12">
        <f>AVERAGE(B103/B$105,C103/C$105,D103/D$105,E103/E$105)</f>
        <v>0.32291666666666669</v>
      </c>
      <c r="H103" s="11">
        <f>B103*$G$101+C103*$G$102+D103*$G$103+E103*$G$104</f>
        <v>1.4583333333333335</v>
      </c>
      <c r="I103" s="11">
        <f>H103/G103</f>
        <v>4.5161290322580649</v>
      </c>
    </row>
    <row r="104" spans="1:9" x14ac:dyDescent="0.3">
      <c r="A104" s="10" t="s">
        <v>61</v>
      </c>
      <c r="B104" s="11">
        <f>1/E101</f>
        <v>1</v>
      </c>
      <c r="C104" s="11">
        <f>1/E102</f>
        <v>0.2</v>
      </c>
      <c r="D104" s="11">
        <f>1/E103</f>
        <v>0.2</v>
      </c>
      <c r="E104" s="11">
        <v>1</v>
      </c>
      <c r="G104" s="12">
        <f>AVERAGE(B104/B$105,C104/C$105,D104/D$105,E104/E$105)</f>
        <v>0.11458333333333333</v>
      </c>
      <c r="H104" s="11">
        <f>B104*$G$101+C104*$G$102+D104*$G$103+E104*$G$104</f>
        <v>0.48333333333333334</v>
      </c>
      <c r="I104" s="11">
        <f>H104/G104</f>
        <v>4.2181818181818187</v>
      </c>
    </row>
    <row r="105" spans="1:9" x14ac:dyDescent="0.3">
      <c r="A105" s="13" t="s">
        <v>65</v>
      </c>
      <c r="B105" s="11">
        <f>SUM(B101:B104)</f>
        <v>4</v>
      </c>
      <c r="C105" s="11">
        <f>SUM(C101:C104)</f>
        <v>3.2</v>
      </c>
      <c r="D105" s="11">
        <f>SUM(D101:D104)</f>
        <v>3.2</v>
      </c>
      <c r="E105" s="11">
        <f>SUM(E101:E104)</f>
        <v>12</v>
      </c>
    </row>
    <row r="106" spans="1:9" x14ac:dyDescent="0.3">
      <c r="A106" s="1" t="s">
        <v>66</v>
      </c>
      <c r="G106" s="12">
        <f>AVERAGE(I101:I104)</f>
        <v>4.3560882315440521</v>
      </c>
    </row>
    <row r="107" spans="1:9" x14ac:dyDescent="0.3">
      <c r="A107" s="1" t="s">
        <v>67</v>
      </c>
      <c r="G107" s="12">
        <f>(G106-4)/(4-1)</f>
        <v>0.11869607718135071</v>
      </c>
    </row>
    <row r="108" spans="1:9" x14ac:dyDescent="0.3">
      <c r="A108" s="29" t="s">
        <v>68</v>
      </c>
      <c r="B108" s="29"/>
      <c r="C108" s="29"/>
      <c r="D108" s="29"/>
      <c r="G108" s="14">
        <f>G107/0.9</f>
        <v>0.13188453020150079</v>
      </c>
    </row>
    <row r="109" spans="1:9" ht="41.4" x14ac:dyDescent="0.3">
      <c r="A109" s="1" t="s">
        <v>69</v>
      </c>
      <c r="G109" s="15" t="str">
        <f>IF('Input Responden'!B12="","Belum diisi",IF(G108&lt;=0.1,"Konsisten - dipakai","Tidak Konsisten - dikecualikan"))</f>
        <v>Tidak Konsisten - dikecualikan</v>
      </c>
    </row>
    <row r="111" spans="1:9" x14ac:dyDescent="0.3">
      <c r="A111" s="9" t="s">
        <v>78</v>
      </c>
      <c r="B111" s="28" t="str">
        <f>'Input Responden'!B13</f>
        <v xml:space="preserve">Luthfi Setyawan </v>
      </c>
      <c r="C111" s="28"/>
      <c r="D111" s="28"/>
    </row>
    <row r="112" spans="1:9" x14ac:dyDescent="0.3">
      <c r="A112" s="10"/>
      <c r="B112" s="10" t="s">
        <v>58</v>
      </c>
      <c r="C112" s="10" t="s">
        <v>59</v>
      </c>
      <c r="D112" s="10" t="s">
        <v>60</v>
      </c>
      <c r="E112" s="10" t="s">
        <v>61</v>
      </c>
      <c r="F112" s="10"/>
      <c r="G112" s="10" t="s">
        <v>62</v>
      </c>
      <c r="H112" s="10" t="s">
        <v>63</v>
      </c>
      <c r="I112" s="10" t="s">
        <v>64</v>
      </c>
    </row>
    <row r="113" spans="1:9" x14ac:dyDescent="0.3">
      <c r="A113" s="10" t="s">
        <v>58</v>
      </c>
      <c r="B113" s="11">
        <v>1</v>
      </c>
      <c r="C113" s="11">
        <f>IF('Input Responden'!D13&gt;=0,IF('Input Responden'!D13=0,1,'Input Responden'!D13),1/ABS('Input Responden'!D13))</f>
        <v>5</v>
      </c>
      <c r="D113" s="11">
        <f>IF('Input Responden'!E13&gt;=0,IF('Input Responden'!E13=0,1,'Input Responden'!E13),1/ABS('Input Responden'!E13))</f>
        <v>4</v>
      </c>
      <c r="E113" s="11">
        <f>IF('Input Responden'!F13&gt;=0,IF('Input Responden'!F13=0,1,'Input Responden'!F13),1/ABS('Input Responden'!F13))</f>
        <v>5</v>
      </c>
      <c r="G113" s="12">
        <f>AVERAGE(B113/B$117,C113/C$117,D113/D$117,E113/E$117)</f>
        <v>0.53213425330146769</v>
      </c>
      <c r="H113" s="11">
        <f>B113*$G$113+C113*$G$114+D113*$G$115+E113*$G$116</f>
        <v>2.7185953633912434</v>
      </c>
      <c r="I113" s="11">
        <f>H113/G113</f>
        <v>5.1088524118200098</v>
      </c>
    </row>
    <row r="114" spans="1:9" x14ac:dyDescent="0.3">
      <c r="A114" s="10" t="s">
        <v>59</v>
      </c>
      <c r="B114" s="11">
        <f>1/C113</f>
        <v>0.2</v>
      </c>
      <c r="C114" s="11">
        <v>1</v>
      </c>
      <c r="D114" s="11">
        <f>IF('Input Responden'!G13&gt;=0,IF('Input Responden'!G13=0,1,'Input Responden'!G13),1/ABS('Input Responden'!G13))</f>
        <v>4</v>
      </c>
      <c r="E114" s="11">
        <f>IF('Input Responden'!H13&gt;=0,IF('Input Responden'!H13=0,1,'Input Responden'!H13),1/ABS('Input Responden'!H13))</f>
        <v>5</v>
      </c>
      <c r="G114" s="12">
        <f>AVERAGE(B114/B$117,C114/C$117,D114/D$117,E114/E$117)</f>
        <v>0.25588337239942399</v>
      </c>
      <c r="H114" s="11">
        <f>B114*$G$113+C114*$G$114+D114*$G$115+E114*$G$116</f>
        <v>1.269354471152373</v>
      </c>
      <c r="I114" s="11">
        <f>H114/G114</f>
        <v>4.9606758706109284</v>
      </c>
    </row>
    <row r="115" spans="1:9" x14ac:dyDescent="0.3">
      <c r="A115" s="10" t="s">
        <v>60</v>
      </c>
      <c r="B115" s="11">
        <f>1/D113</f>
        <v>0.25</v>
      </c>
      <c r="C115" s="11">
        <f>1/D114</f>
        <v>0.25</v>
      </c>
      <c r="D115" s="11">
        <v>1</v>
      </c>
      <c r="E115" s="11">
        <f>IF('Input Responden'!I13&gt;=0,IF('Input Responden'!I13=0,1,'Input Responden'!I13),1/ABS('Input Responden'!I13))</f>
        <v>5</v>
      </c>
      <c r="G115" s="12">
        <f>AVERAGE(B115/B$117,C115/C$117,D115/D$117,E115/E$117)</f>
        <v>0.15286762340288629</v>
      </c>
      <c r="H115" s="11">
        <f>B115*$G$113+C115*$G$114+D115*$G$115+E115*$G$116</f>
        <v>0.64544578430921962</v>
      </c>
      <c r="I115" s="11">
        <f>H115/G115</f>
        <v>4.2222530182740643</v>
      </c>
    </row>
    <row r="116" spans="1:9" x14ac:dyDescent="0.3">
      <c r="A116" s="10" t="s">
        <v>61</v>
      </c>
      <c r="B116" s="11">
        <f>1/E113</f>
        <v>0.2</v>
      </c>
      <c r="C116" s="11">
        <f>1/E114</f>
        <v>0.2</v>
      </c>
      <c r="D116" s="11">
        <f>1/E115</f>
        <v>0.2</v>
      </c>
      <c r="E116" s="11">
        <v>1</v>
      </c>
      <c r="G116" s="12">
        <f>AVERAGE(B116/B$117,C116/C$117,D116/D$117,E116/E$117)</f>
        <v>5.9114750896222083E-2</v>
      </c>
      <c r="H116" s="11">
        <f>B116*$G$113+C116*$G$114+D116*$G$115+E116*$G$116</f>
        <v>0.24729180071697768</v>
      </c>
      <c r="I116" s="11">
        <f>H116/G116</f>
        <v>4.1832503219223014</v>
      </c>
    </row>
    <row r="117" spans="1:9" x14ac:dyDescent="0.3">
      <c r="A117" s="13" t="s">
        <v>65</v>
      </c>
      <c r="B117" s="11">
        <f>SUM(B113:B116)</f>
        <v>1.65</v>
      </c>
      <c r="C117" s="11">
        <f>SUM(C113:C116)</f>
        <v>6.45</v>
      </c>
      <c r="D117" s="11">
        <f>SUM(D113:D116)</f>
        <v>9.1999999999999993</v>
      </c>
      <c r="E117" s="11">
        <f>SUM(E113:E116)</f>
        <v>16</v>
      </c>
    </row>
    <row r="118" spans="1:9" x14ac:dyDescent="0.3">
      <c r="A118" s="1" t="s">
        <v>66</v>
      </c>
      <c r="G118" s="12">
        <f>AVERAGE(I113:I116)</f>
        <v>4.6187579056568255</v>
      </c>
    </row>
    <row r="119" spans="1:9" x14ac:dyDescent="0.3">
      <c r="A119" s="1" t="s">
        <v>67</v>
      </c>
      <c r="G119" s="12">
        <f>(G118-4)/(4-1)</f>
        <v>0.20625263521894185</v>
      </c>
    </row>
    <row r="120" spans="1:9" x14ac:dyDescent="0.3">
      <c r="A120" s="29" t="s">
        <v>68</v>
      </c>
      <c r="B120" s="29"/>
      <c r="C120" s="29"/>
      <c r="D120" s="29"/>
      <c r="G120" s="14">
        <f>G119/0.9</f>
        <v>0.22916959468771317</v>
      </c>
    </row>
    <row r="121" spans="1:9" ht="41.4" x14ac:dyDescent="0.3">
      <c r="A121" s="1" t="s">
        <v>69</v>
      </c>
      <c r="G121" s="15" t="str">
        <f>IF('Input Responden'!B13="","Belum diisi",IF(G120&lt;=0.1,"Konsisten - dipakai","Tidak Konsisten - dikecualikan"))</f>
        <v>Tidak Konsisten - dikecualikan</v>
      </c>
    </row>
    <row r="123" spans="1:9" x14ac:dyDescent="0.3">
      <c r="A123" s="9" t="s">
        <v>79</v>
      </c>
      <c r="B123" s="28" t="str">
        <f>'Input Responden'!B14</f>
        <v xml:space="preserve">Satrio Dwi Nugroho </v>
      </c>
      <c r="C123" s="28"/>
      <c r="D123" s="28"/>
    </row>
    <row r="124" spans="1:9" x14ac:dyDescent="0.3">
      <c r="A124" s="10"/>
      <c r="B124" s="10" t="s">
        <v>58</v>
      </c>
      <c r="C124" s="10" t="s">
        <v>59</v>
      </c>
      <c r="D124" s="10" t="s">
        <v>60</v>
      </c>
      <c r="E124" s="10" t="s">
        <v>61</v>
      </c>
      <c r="F124" s="10"/>
      <c r="G124" s="10" t="s">
        <v>62</v>
      </c>
      <c r="H124" s="10" t="s">
        <v>63</v>
      </c>
      <c r="I124" s="10" t="s">
        <v>64</v>
      </c>
    </row>
    <row r="125" spans="1:9" x14ac:dyDescent="0.3">
      <c r="A125" s="10" t="s">
        <v>58</v>
      </c>
      <c r="B125" s="11">
        <v>1</v>
      </c>
      <c r="C125" s="11">
        <f>IF('Input Responden'!D14&gt;=0,IF('Input Responden'!D14=0,1,'Input Responden'!D14),1/ABS('Input Responden'!D14))</f>
        <v>1</v>
      </c>
      <c r="D125" s="11">
        <f>IF('Input Responden'!E14&gt;=0,IF('Input Responden'!E14=0,1,'Input Responden'!E14),1/ABS('Input Responden'!E14))</f>
        <v>4</v>
      </c>
      <c r="E125" s="11">
        <f>IF('Input Responden'!F14&gt;=0,IF('Input Responden'!F14=0,1,'Input Responden'!F14),1/ABS('Input Responden'!F14))</f>
        <v>1</v>
      </c>
      <c r="G125" s="12">
        <f>AVERAGE(B125/B$129,C125/C$129,D125/D$129,E125/E$129)</f>
        <v>0.3324175824175824</v>
      </c>
      <c r="H125" s="11">
        <f>B125*$G$125+C125*$G$126+D125*$G$127+E125*$G$128</f>
        <v>1.502747252747253</v>
      </c>
      <c r="I125" s="11">
        <f>H125/G125</f>
        <v>4.5206611570247945</v>
      </c>
    </row>
    <row r="126" spans="1:9" x14ac:dyDescent="0.3">
      <c r="A126" s="10" t="s">
        <v>59</v>
      </c>
      <c r="B126" s="11">
        <f>1/C125</f>
        <v>1</v>
      </c>
      <c r="C126" s="11">
        <v>1</v>
      </c>
      <c r="D126" s="11">
        <f>IF('Input Responden'!G14&gt;=0,IF('Input Responden'!G14=0,1,'Input Responden'!G14),1/ABS('Input Responden'!G14))</f>
        <v>1</v>
      </c>
      <c r="E126" s="11">
        <f>IF('Input Responden'!H14&gt;=0,IF('Input Responden'!H14=0,1,'Input Responden'!H14),1/ABS('Input Responden'!H14))</f>
        <v>4</v>
      </c>
      <c r="G126" s="12">
        <f>AVERAGE(B126/B$129,C126/C$129,D126/D$129,E126/E$129)</f>
        <v>0.3324175824175824</v>
      </c>
      <c r="H126" s="11">
        <f>B126*$G$125+C126*$G$126+D126*$G$127+E126*$G$128</f>
        <v>1.5027472527472527</v>
      </c>
      <c r="I126" s="11">
        <f>H126/G126</f>
        <v>4.5206611570247937</v>
      </c>
    </row>
    <row r="127" spans="1:9" x14ac:dyDescent="0.3">
      <c r="A127" s="10" t="s">
        <v>60</v>
      </c>
      <c r="B127" s="11">
        <f>1/D125</f>
        <v>0.25</v>
      </c>
      <c r="C127" s="11">
        <f>1/D126</f>
        <v>1</v>
      </c>
      <c r="D127" s="11">
        <v>1</v>
      </c>
      <c r="E127" s="11">
        <f>IF('Input Responden'!I14&gt;=0,IF('Input Responden'!I14=0,1,'Input Responden'!I14),1/ABS('Input Responden'!I14))</f>
        <v>1</v>
      </c>
      <c r="G127" s="12">
        <f>AVERAGE(B127/B$129,C127/C$129,D127/D$129,E127/E$129)</f>
        <v>0.1675824175824176</v>
      </c>
      <c r="H127" s="11">
        <f>B127*$G$125+C127*$G$126+D127*$G$127+E127*$G$128</f>
        <v>0.75068681318681318</v>
      </c>
      <c r="I127" s="11">
        <f>H127/G127</f>
        <v>4.4795081967213113</v>
      </c>
    </row>
    <row r="128" spans="1:9" x14ac:dyDescent="0.3">
      <c r="A128" s="10" t="s">
        <v>61</v>
      </c>
      <c r="B128" s="11">
        <f>1/E125</f>
        <v>1</v>
      </c>
      <c r="C128" s="11">
        <f>1/E126</f>
        <v>0.25</v>
      </c>
      <c r="D128" s="11">
        <f>1/E127</f>
        <v>1</v>
      </c>
      <c r="E128" s="11">
        <v>1</v>
      </c>
      <c r="G128" s="12">
        <f>AVERAGE(B128/B$129,C128/C$129,D128/D$129,E128/E$129)</f>
        <v>0.1675824175824176</v>
      </c>
      <c r="H128" s="11">
        <f>B128*$G$125+C128*$G$126+D128*$G$127+E128*$G$128</f>
        <v>0.75068681318681318</v>
      </c>
      <c r="I128" s="11">
        <f>H128/G128</f>
        <v>4.4795081967213113</v>
      </c>
    </row>
    <row r="129" spans="1:9" x14ac:dyDescent="0.3">
      <c r="A129" s="13" t="s">
        <v>65</v>
      </c>
      <c r="B129" s="11">
        <f>SUM(B125:B128)</f>
        <v>3.25</v>
      </c>
      <c r="C129" s="11">
        <f>SUM(C125:C128)</f>
        <v>3.25</v>
      </c>
      <c r="D129" s="11">
        <f>SUM(D125:D128)</f>
        <v>7</v>
      </c>
      <c r="E129" s="11">
        <f>SUM(E125:E128)</f>
        <v>7</v>
      </c>
    </row>
    <row r="130" spans="1:9" x14ac:dyDescent="0.3">
      <c r="A130" s="1" t="s">
        <v>66</v>
      </c>
      <c r="G130" s="12">
        <f>AVERAGE(I125:I128)</f>
        <v>4.5000846768730529</v>
      </c>
    </row>
    <row r="131" spans="1:9" x14ac:dyDescent="0.3">
      <c r="A131" s="1" t="s">
        <v>67</v>
      </c>
      <c r="G131" s="12">
        <f>(G130-4)/(4-1)</f>
        <v>0.16669489229101764</v>
      </c>
    </row>
    <row r="132" spans="1:9" x14ac:dyDescent="0.3">
      <c r="A132" s="29" t="s">
        <v>68</v>
      </c>
      <c r="B132" s="29"/>
      <c r="C132" s="29"/>
      <c r="D132" s="29"/>
      <c r="G132" s="14">
        <f>G131/0.9</f>
        <v>0.1852165469900196</v>
      </c>
    </row>
    <row r="133" spans="1:9" ht="41.4" x14ac:dyDescent="0.3">
      <c r="A133" s="1" t="s">
        <v>69</v>
      </c>
      <c r="G133" s="15" t="str">
        <f>IF('Input Responden'!B14="","Belum diisi",IF(G132&lt;=0.1,"Konsisten - dipakai","Tidak Konsisten - dikecualikan"))</f>
        <v>Tidak Konsisten - dikecualikan</v>
      </c>
    </row>
    <row r="135" spans="1:9" x14ac:dyDescent="0.3">
      <c r="A135" s="9" t="s">
        <v>80</v>
      </c>
      <c r="B135" s="28" t="str">
        <f>'Input Responden'!B15</f>
        <v>Alvaro Walewangko</v>
      </c>
      <c r="C135" s="28"/>
      <c r="D135" s="28"/>
    </row>
    <row r="136" spans="1:9" x14ac:dyDescent="0.3">
      <c r="A136" s="10"/>
      <c r="B136" s="10" t="s">
        <v>58</v>
      </c>
      <c r="C136" s="10" t="s">
        <v>59</v>
      </c>
      <c r="D136" s="10" t="s">
        <v>60</v>
      </c>
      <c r="E136" s="10" t="s">
        <v>61</v>
      </c>
      <c r="F136" s="10"/>
      <c r="G136" s="10" t="s">
        <v>62</v>
      </c>
      <c r="H136" s="10" t="s">
        <v>63</v>
      </c>
      <c r="I136" s="10" t="s">
        <v>64</v>
      </c>
    </row>
    <row r="137" spans="1:9" x14ac:dyDescent="0.3">
      <c r="A137" s="10" t="s">
        <v>58</v>
      </c>
      <c r="B137" s="11">
        <v>1</v>
      </c>
      <c r="C137" s="11">
        <f>IF('Input Responden'!D15&gt;=0,IF('Input Responden'!D15=0,1,'Input Responden'!D15),1/ABS('Input Responden'!D15))</f>
        <v>0.2</v>
      </c>
      <c r="D137" s="11">
        <f>IF('Input Responden'!E15&gt;=0,IF('Input Responden'!E15=0,1,'Input Responden'!E15),1/ABS('Input Responden'!E15))</f>
        <v>0.2</v>
      </c>
      <c r="E137" s="11">
        <f>IF('Input Responden'!F15&gt;=0,IF('Input Responden'!F15=0,1,'Input Responden'!F15),1/ABS('Input Responden'!F15))</f>
        <v>0.2</v>
      </c>
      <c r="G137" s="12">
        <f>AVERAGE(B137/B$141,C137/C$141,D137/D$141,E137/E$141)</f>
        <v>5.9151785714285712E-2</v>
      </c>
      <c r="H137" s="11">
        <f>B137*$G$137+C137*$G$138+D137*$G$139+E137*$G$140</f>
        <v>0.24732142857142858</v>
      </c>
      <c r="I137" s="11">
        <f>H137/G137</f>
        <v>4.1811320754716981</v>
      </c>
    </row>
    <row r="138" spans="1:9" x14ac:dyDescent="0.3">
      <c r="A138" s="10" t="s">
        <v>59</v>
      </c>
      <c r="B138" s="11">
        <f>1/C137</f>
        <v>5</v>
      </c>
      <c r="C138" s="11">
        <v>1</v>
      </c>
      <c r="D138" s="11">
        <f>IF('Input Responden'!G15&gt;=0,IF('Input Responden'!G15=0,1,'Input Responden'!G15),1/ABS('Input Responden'!G15))</f>
        <v>0.2</v>
      </c>
      <c r="E138" s="11">
        <f>IF('Input Responden'!H15&gt;=0,IF('Input Responden'!H15=0,1,'Input Responden'!H15),1/ABS('Input Responden'!H15))</f>
        <v>0.2</v>
      </c>
      <c r="G138" s="12">
        <f>AVERAGE(B138/B$141,C138/C$141,D138/D$141,E138/E$141)</f>
        <v>0.13950892857142858</v>
      </c>
      <c r="H138" s="11">
        <f>B138*$G$137+C138*$G$138+D138*$G$139+E138*$G$140</f>
        <v>0.59553571428571428</v>
      </c>
      <c r="I138" s="11">
        <f>H138/G138</f>
        <v>4.2687999999999997</v>
      </c>
    </row>
    <row r="139" spans="1:9" x14ac:dyDescent="0.3">
      <c r="A139" s="10" t="s">
        <v>60</v>
      </c>
      <c r="B139" s="11">
        <f>1/D137</f>
        <v>5</v>
      </c>
      <c r="C139" s="11">
        <f>1/D138</f>
        <v>5</v>
      </c>
      <c r="D139" s="11">
        <v>1</v>
      </c>
      <c r="E139" s="11">
        <f>IF('Input Responden'!I15&gt;=0,IF('Input Responden'!I15=0,1,'Input Responden'!I15),1/ABS('Input Responden'!I15))</f>
        <v>0.2</v>
      </c>
      <c r="G139" s="12">
        <f>AVERAGE(B139/B$141,C139/C$141,D139/D$141,E139/E$141)</f>
        <v>0.26004464285714285</v>
      </c>
      <c r="H139" s="11">
        <f>B139*$G$137+C139*$G$138+D139*$G$139+E139*$G$140</f>
        <v>1.3616071428571428</v>
      </c>
      <c r="I139" s="11">
        <f>H139/G139</f>
        <v>5.2360515021459229</v>
      </c>
    </row>
    <row r="140" spans="1:9" x14ac:dyDescent="0.3">
      <c r="A140" s="10" t="s">
        <v>61</v>
      </c>
      <c r="B140" s="11">
        <f>1/E137</f>
        <v>5</v>
      </c>
      <c r="C140" s="11">
        <f>1/E138</f>
        <v>5</v>
      </c>
      <c r="D140" s="11">
        <f>1/E139</f>
        <v>5</v>
      </c>
      <c r="E140" s="11">
        <v>1</v>
      </c>
      <c r="G140" s="12">
        <f>AVERAGE(B140/B$141,C140/C$141,D140/D$141,E140/E$141)</f>
        <v>0.54129464285714279</v>
      </c>
      <c r="H140" s="11">
        <f>B140*$G$137+C140*$G$138+D140*$G$139+E140*$G$140</f>
        <v>2.8348214285714284</v>
      </c>
      <c r="I140" s="11">
        <f>H140/G140</f>
        <v>5.2371134020618557</v>
      </c>
    </row>
    <row r="141" spans="1:9" x14ac:dyDescent="0.3">
      <c r="A141" s="13" t="s">
        <v>65</v>
      </c>
      <c r="B141" s="11">
        <f>SUM(B137:B140)</f>
        <v>16</v>
      </c>
      <c r="C141" s="11">
        <f>SUM(C137:C140)</f>
        <v>11.2</v>
      </c>
      <c r="D141" s="11">
        <f>SUM(D137:D140)</f>
        <v>6.4</v>
      </c>
      <c r="E141" s="11">
        <f>SUM(E137:E140)</f>
        <v>1.6</v>
      </c>
    </row>
    <row r="142" spans="1:9" x14ac:dyDescent="0.3">
      <c r="A142" s="1" t="s">
        <v>66</v>
      </c>
      <c r="G142" s="12">
        <f>AVERAGE(I137:I140)</f>
        <v>4.7307742449198686</v>
      </c>
    </row>
    <row r="143" spans="1:9" x14ac:dyDescent="0.3">
      <c r="A143" s="1" t="s">
        <v>67</v>
      </c>
      <c r="G143" s="12">
        <f>(G142-4)/(4-1)</f>
        <v>0.24359141497328954</v>
      </c>
    </row>
    <row r="144" spans="1:9" x14ac:dyDescent="0.3">
      <c r="A144" s="29" t="s">
        <v>68</v>
      </c>
      <c r="B144" s="29"/>
      <c r="C144" s="29"/>
      <c r="D144" s="29"/>
      <c r="G144" s="14">
        <f>G143/0.9</f>
        <v>0.27065712774809947</v>
      </c>
    </row>
    <row r="145" spans="1:9" ht="41.4" x14ac:dyDescent="0.3">
      <c r="A145" s="1" t="s">
        <v>69</v>
      </c>
      <c r="G145" s="15" t="str">
        <f>IF('Input Responden'!B15="","Belum diisi",IF(G144&lt;=0.1,"Konsisten - dipakai","Tidak Konsisten - dikecualikan"))</f>
        <v>Tidak Konsisten - dikecualikan</v>
      </c>
    </row>
    <row r="147" spans="1:9" x14ac:dyDescent="0.3">
      <c r="A147" s="9" t="s">
        <v>81</v>
      </c>
      <c r="B147" s="28" t="str">
        <f>'Input Responden'!B16</f>
        <v>Aditya mulyanto</v>
      </c>
      <c r="C147" s="28"/>
      <c r="D147" s="28"/>
    </row>
    <row r="148" spans="1:9" x14ac:dyDescent="0.3">
      <c r="A148" s="10"/>
      <c r="B148" s="10" t="s">
        <v>58</v>
      </c>
      <c r="C148" s="10" t="s">
        <v>59</v>
      </c>
      <c r="D148" s="10" t="s">
        <v>60</v>
      </c>
      <c r="E148" s="10" t="s">
        <v>61</v>
      </c>
      <c r="F148" s="10"/>
      <c r="G148" s="10" t="s">
        <v>62</v>
      </c>
      <c r="H148" s="10" t="s">
        <v>63</v>
      </c>
      <c r="I148" s="10" t="s">
        <v>64</v>
      </c>
    </row>
    <row r="149" spans="1:9" x14ac:dyDescent="0.3">
      <c r="A149" s="10" t="s">
        <v>58</v>
      </c>
      <c r="B149" s="11">
        <v>1</v>
      </c>
      <c r="C149" s="11">
        <f>IF('Input Responden'!D16&gt;=0,IF('Input Responden'!D16=0,1,'Input Responden'!D16),1/ABS('Input Responden'!D16))</f>
        <v>5</v>
      </c>
      <c r="D149" s="11">
        <f>IF('Input Responden'!E16&gt;=0,IF('Input Responden'!E16=0,1,'Input Responden'!E16),1/ABS('Input Responden'!E16))</f>
        <v>5</v>
      </c>
      <c r="E149" s="11">
        <f>IF('Input Responden'!F16&gt;=0,IF('Input Responden'!F16=0,1,'Input Responden'!F16),1/ABS('Input Responden'!F16))</f>
        <v>5</v>
      </c>
      <c r="G149" s="12">
        <f>AVERAGE(B149/B$153,C149/C$153,D149/D$153,E149/E$153)</f>
        <v>0.54129464285714279</v>
      </c>
      <c r="H149" s="11">
        <f>B149*$G$149+C149*$G$150+D149*$G$151+E149*$G$152</f>
        <v>2.8348214285714288</v>
      </c>
      <c r="I149" s="11">
        <f>H149/G149</f>
        <v>5.2371134020618566</v>
      </c>
    </row>
    <row r="150" spans="1:9" x14ac:dyDescent="0.3">
      <c r="A150" s="10" t="s">
        <v>59</v>
      </c>
      <c r="B150" s="11">
        <f>1/C149</f>
        <v>0.2</v>
      </c>
      <c r="C150" s="11">
        <v>1</v>
      </c>
      <c r="D150" s="11">
        <f>IF('Input Responden'!G16&gt;=0,IF('Input Responden'!G16=0,1,'Input Responden'!G16),1/ABS('Input Responden'!G16))</f>
        <v>5</v>
      </c>
      <c r="E150" s="11">
        <f>IF('Input Responden'!H16&gt;=0,IF('Input Responden'!H16=0,1,'Input Responden'!H16),1/ABS('Input Responden'!H16))</f>
        <v>5</v>
      </c>
      <c r="G150" s="12">
        <f>AVERAGE(B150/B$153,C150/C$153,D150/D$153,E150/E$153)</f>
        <v>0.26004464285714285</v>
      </c>
      <c r="H150" s="11">
        <f>B150*$G$149+C150*$G$150+D150*$G$151+E150*$G$152</f>
        <v>1.361607142857143</v>
      </c>
      <c r="I150" s="11">
        <f>H150/G150</f>
        <v>5.2360515021459237</v>
      </c>
    </row>
    <row r="151" spans="1:9" x14ac:dyDescent="0.3">
      <c r="A151" s="10" t="s">
        <v>60</v>
      </c>
      <c r="B151" s="11">
        <f>1/D149</f>
        <v>0.2</v>
      </c>
      <c r="C151" s="11">
        <f>1/D150</f>
        <v>0.2</v>
      </c>
      <c r="D151" s="11">
        <v>1</v>
      </c>
      <c r="E151" s="11">
        <f>IF('Input Responden'!I16&gt;=0,IF('Input Responden'!I16=0,1,'Input Responden'!I16),1/ABS('Input Responden'!I16))</f>
        <v>5</v>
      </c>
      <c r="G151" s="12">
        <f>AVERAGE(B151/B$153,C151/C$153,D151/D$153,E151/E$153)</f>
        <v>0.13950892857142858</v>
      </c>
      <c r="H151" s="11">
        <f>B151*$G$149+C151*$G$150+D151*$G$151+E151*$G$152</f>
        <v>0.59553571428571428</v>
      </c>
      <c r="I151" s="11">
        <f>H151/G151</f>
        <v>4.2687999999999997</v>
      </c>
    </row>
    <row r="152" spans="1:9" x14ac:dyDescent="0.3">
      <c r="A152" s="10" t="s">
        <v>61</v>
      </c>
      <c r="B152" s="11">
        <f>1/E149</f>
        <v>0.2</v>
      </c>
      <c r="C152" s="11">
        <f>1/E150</f>
        <v>0.2</v>
      </c>
      <c r="D152" s="11">
        <f>1/E151</f>
        <v>0.2</v>
      </c>
      <c r="E152" s="11">
        <v>1</v>
      </c>
      <c r="G152" s="12">
        <f>AVERAGE(B152/B$153,C152/C$153,D152/D$153,E152/E$153)</f>
        <v>5.9151785714285719E-2</v>
      </c>
      <c r="H152" s="11">
        <f>B152*$G$149+C152*$G$150+D152*$G$151+E152*$G$152</f>
        <v>0.24732142857142858</v>
      </c>
      <c r="I152" s="11">
        <f>H152/G152</f>
        <v>4.1811320754716981</v>
      </c>
    </row>
    <row r="153" spans="1:9" x14ac:dyDescent="0.3">
      <c r="A153" s="13" t="s">
        <v>65</v>
      </c>
      <c r="B153" s="11">
        <f>SUM(B149:B152)</f>
        <v>1.5999999999999999</v>
      </c>
      <c r="C153" s="11">
        <f>SUM(C149:C152)</f>
        <v>6.4</v>
      </c>
      <c r="D153" s="11">
        <f>SUM(D149:D152)</f>
        <v>11.2</v>
      </c>
      <c r="E153" s="11">
        <f>SUM(E149:E152)</f>
        <v>16</v>
      </c>
    </row>
    <row r="154" spans="1:9" x14ac:dyDescent="0.3">
      <c r="A154" s="1" t="s">
        <v>66</v>
      </c>
      <c r="G154" s="12">
        <f>AVERAGE(I149:I152)</f>
        <v>4.7307742449198695</v>
      </c>
    </row>
    <row r="155" spans="1:9" x14ac:dyDescent="0.3">
      <c r="A155" s="1" t="s">
        <v>67</v>
      </c>
      <c r="G155" s="12">
        <f>(G154-4)/(4-1)</f>
        <v>0.24359141497328984</v>
      </c>
    </row>
    <row r="156" spans="1:9" x14ac:dyDescent="0.3">
      <c r="A156" s="29" t="s">
        <v>68</v>
      </c>
      <c r="B156" s="29"/>
      <c r="C156" s="29"/>
      <c r="D156" s="29"/>
      <c r="G156" s="14">
        <f>G155/0.9</f>
        <v>0.2706571277480998</v>
      </c>
    </row>
    <row r="157" spans="1:9" ht="41.4" x14ac:dyDescent="0.3">
      <c r="A157" s="1" t="s">
        <v>69</v>
      </c>
      <c r="G157" s="15" t="str">
        <f>IF('Input Responden'!B16="","Belum diisi",IF(G156&lt;=0.1,"Konsisten - dipakai","Tidak Konsisten - dikecualikan"))</f>
        <v>Tidak Konsisten - dikecualikan</v>
      </c>
    </row>
    <row r="159" spans="1:9" x14ac:dyDescent="0.3">
      <c r="A159" s="9" t="s">
        <v>82</v>
      </c>
      <c r="B159" s="28" t="str">
        <f>'Input Responden'!B17</f>
        <v xml:space="preserve">RIKKI APRIANTO SADIA </v>
      </c>
      <c r="C159" s="28"/>
      <c r="D159" s="28"/>
    </row>
    <row r="160" spans="1:9" x14ac:dyDescent="0.3">
      <c r="A160" s="10"/>
      <c r="B160" s="10" t="s">
        <v>58</v>
      </c>
      <c r="C160" s="10" t="s">
        <v>59</v>
      </c>
      <c r="D160" s="10" t="s">
        <v>60</v>
      </c>
      <c r="E160" s="10" t="s">
        <v>61</v>
      </c>
      <c r="F160" s="10"/>
      <c r="G160" s="10" t="s">
        <v>62</v>
      </c>
      <c r="H160" s="10" t="s">
        <v>63</v>
      </c>
      <c r="I160" s="10" t="s">
        <v>64</v>
      </c>
    </row>
    <row r="161" spans="1:9" x14ac:dyDescent="0.3">
      <c r="A161" s="10" t="s">
        <v>58</v>
      </c>
      <c r="B161" s="11">
        <v>1</v>
      </c>
      <c r="C161" s="11">
        <f>IF('Input Responden'!D17&gt;=0,IF('Input Responden'!D17=0,1,'Input Responden'!D17),1/ABS('Input Responden'!D17))</f>
        <v>5</v>
      </c>
      <c r="D161" s="11">
        <f>IF('Input Responden'!E17&gt;=0,IF('Input Responden'!E17=0,1,'Input Responden'!E17),1/ABS('Input Responden'!E17))</f>
        <v>5</v>
      </c>
      <c r="E161" s="11">
        <f>IF('Input Responden'!F17&gt;=0,IF('Input Responden'!F17=0,1,'Input Responden'!F17),1/ABS('Input Responden'!F17))</f>
        <v>5</v>
      </c>
      <c r="G161" s="12">
        <f>AVERAGE(B161/B$165,C161/C$165,D161/D$165,E161/E$165)</f>
        <v>0.54129464285714279</v>
      </c>
      <c r="H161" s="11">
        <f>B161*$G$161+C161*$G$162+D161*$G$163+E161*$G$164</f>
        <v>2.8348214285714288</v>
      </c>
      <c r="I161" s="11">
        <f>H161/G161</f>
        <v>5.2371134020618566</v>
      </c>
    </row>
    <row r="162" spans="1:9" x14ac:dyDescent="0.3">
      <c r="A162" s="10" t="s">
        <v>59</v>
      </c>
      <c r="B162" s="11">
        <f>1/C161</f>
        <v>0.2</v>
      </c>
      <c r="C162" s="11">
        <v>1</v>
      </c>
      <c r="D162" s="11">
        <f>IF('Input Responden'!G17&gt;=0,IF('Input Responden'!G17=0,1,'Input Responden'!G17),1/ABS('Input Responden'!G17))</f>
        <v>5</v>
      </c>
      <c r="E162" s="11">
        <f>IF('Input Responden'!H17&gt;=0,IF('Input Responden'!H17=0,1,'Input Responden'!H17),1/ABS('Input Responden'!H17))</f>
        <v>5</v>
      </c>
      <c r="G162" s="12">
        <f>AVERAGE(B162/B$165,C162/C$165,D162/D$165,E162/E$165)</f>
        <v>0.26004464285714285</v>
      </c>
      <c r="H162" s="11">
        <f>B162*$G$161+C162*$G$162+D162*$G$163+E162*$G$164</f>
        <v>1.361607142857143</v>
      </c>
      <c r="I162" s="11">
        <f>H162/G162</f>
        <v>5.2360515021459237</v>
      </c>
    </row>
    <row r="163" spans="1:9" x14ac:dyDescent="0.3">
      <c r="A163" s="10" t="s">
        <v>60</v>
      </c>
      <c r="B163" s="11">
        <f>1/D161</f>
        <v>0.2</v>
      </c>
      <c r="C163" s="11">
        <f>1/D162</f>
        <v>0.2</v>
      </c>
      <c r="D163" s="11">
        <v>1</v>
      </c>
      <c r="E163" s="11">
        <f>IF('Input Responden'!I17&gt;=0,IF('Input Responden'!I17=0,1,'Input Responden'!I17),1/ABS('Input Responden'!I17))</f>
        <v>5</v>
      </c>
      <c r="G163" s="12">
        <f>AVERAGE(B163/B$165,C163/C$165,D163/D$165,E163/E$165)</f>
        <v>0.13950892857142858</v>
      </c>
      <c r="H163" s="11">
        <f>B163*$G$161+C163*$G$162+D163*$G$163+E163*$G$164</f>
        <v>0.59553571428571428</v>
      </c>
      <c r="I163" s="11">
        <f>H163/G163</f>
        <v>4.2687999999999997</v>
      </c>
    </row>
    <row r="164" spans="1:9" x14ac:dyDescent="0.3">
      <c r="A164" s="10" t="s">
        <v>61</v>
      </c>
      <c r="B164" s="11">
        <f>1/E161</f>
        <v>0.2</v>
      </c>
      <c r="C164" s="11">
        <f>1/E162</f>
        <v>0.2</v>
      </c>
      <c r="D164" s="11">
        <f>1/E163</f>
        <v>0.2</v>
      </c>
      <c r="E164" s="11">
        <v>1</v>
      </c>
      <c r="G164" s="12">
        <f>AVERAGE(B164/B$165,C164/C$165,D164/D$165,E164/E$165)</f>
        <v>5.9151785714285719E-2</v>
      </c>
      <c r="H164" s="11">
        <f>B164*$G$161+C164*$G$162+D164*$G$163+E164*$G$164</f>
        <v>0.24732142857142858</v>
      </c>
      <c r="I164" s="11">
        <f>H164/G164</f>
        <v>4.1811320754716981</v>
      </c>
    </row>
    <row r="165" spans="1:9" x14ac:dyDescent="0.3">
      <c r="A165" s="13" t="s">
        <v>65</v>
      </c>
      <c r="B165" s="11">
        <f>SUM(B161:B164)</f>
        <v>1.5999999999999999</v>
      </c>
      <c r="C165" s="11">
        <f>SUM(C161:C164)</f>
        <v>6.4</v>
      </c>
      <c r="D165" s="11">
        <f>SUM(D161:D164)</f>
        <v>11.2</v>
      </c>
      <c r="E165" s="11">
        <f>SUM(E161:E164)</f>
        <v>16</v>
      </c>
    </row>
    <row r="166" spans="1:9" x14ac:dyDescent="0.3">
      <c r="A166" s="1" t="s">
        <v>66</v>
      </c>
      <c r="G166" s="12">
        <f>AVERAGE(I161:I164)</f>
        <v>4.7307742449198695</v>
      </c>
    </row>
    <row r="167" spans="1:9" x14ac:dyDescent="0.3">
      <c r="A167" s="1" t="s">
        <v>67</v>
      </c>
      <c r="G167" s="12">
        <f>(G166-4)/(4-1)</f>
        <v>0.24359141497328984</v>
      </c>
    </row>
    <row r="168" spans="1:9" x14ac:dyDescent="0.3">
      <c r="A168" s="29" t="s">
        <v>68</v>
      </c>
      <c r="B168" s="29"/>
      <c r="C168" s="29"/>
      <c r="D168" s="29"/>
      <c r="G168" s="14">
        <f>G167/0.9</f>
        <v>0.2706571277480998</v>
      </c>
    </row>
    <row r="169" spans="1:9" ht="41.4" x14ac:dyDescent="0.3">
      <c r="A169" s="1" t="s">
        <v>69</v>
      </c>
      <c r="G169" s="15" t="str">
        <f>IF('Input Responden'!B17="","Belum diisi",IF(G168&lt;=0.1,"Konsisten - dipakai","Tidak Konsisten - dikecualikan"))</f>
        <v>Tidak Konsisten - dikecualikan</v>
      </c>
    </row>
    <row r="171" spans="1:9" x14ac:dyDescent="0.3">
      <c r="A171" s="9" t="s">
        <v>83</v>
      </c>
      <c r="B171" s="28" t="str">
        <f>'Input Responden'!B18</f>
        <v xml:space="preserve">MUH.YUSUF KALLA </v>
      </c>
      <c r="C171" s="28"/>
      <c r="D171" s="28"/>
    </row>
    <row r="172" spans="1:9" x14ac:dyDescent="0.3">
      <c r="A172" s="10"/>
      <c r="B172" s="10" t="s">
        <v>58</v>
      </c>
      <c r="C172" s="10" t="s">
        <v>59</v>
      </c>
      <c r="D172" s="10" t="s">
        <v>60</v>
      </c>
      <c r="E172" s="10" t="s">
        <v>61</v>
      </c>
      <c r="F172" s="10"/>
      <c r="G172" s="10" t="s">
        <v>62</v>
      </c>
      <c r="H172" s="10" t="s">
        <v>63</v>
      </c>
      <c r="I172" s="10" t="s">
        <v>64</v>
      </c>
    </row>
    <row r="173" spans="1:9" x14ac:dyDescent="0.3">
      <c r="A173" s="10" t="s">
        <v>58</v>
      </c>
      <c r="B173" s="11">
        <v>1</v>
      </c>
      <c r="C173" s="11">
        <f>IF('Input Responden'!D18&gt;=0,IF('Input Responden'!D18=0,1,'Input Responden'!D18),1/ABS('Input Responden'!D18))</f>
        <v>5</v>
      </c>
      <c r="D173" s="11">
        <f>IF('Input Responden'!E18&gt;=0,IF('Input Responden'!E18=0,1,'Input Responden'!E18),1/ABS('Input Responden'!E18))</f>
        <v>5</v>
      </c>
      <c r="E173" s="11">
        <f>IF('Input Responden'!F18&gt;=0,IF('Input Responden'!F18=0,1,'Input Responden'!F18),1/ABS('Input Responden'!F18))</f>
        <v>5</v>
      </c>
      <c r="G173" s="12">
        <f>AVERAGE(B173/B$177,C173/C$177,D173/D$177,E173/E$177)</f>
        <v>0.54129464285714279</v>
      </c>
      <c r="H173" s="11">
        <f>B173*$G$173+C173*$G$174+D173*$G$175+E173*$G$176</f>
        <v>2.8348214285714288</v>
      </c>
      <c r="I173" s="11">
        <f>H173/G173</f>
        <v>5.2371134020618566</v>
      </c>
    </row>
    <row r="174" spans="1:9" x14ac:dyDescent="0.3">
      <c r="A174" s="10" t="s">
        <v>59</v>
      </c>
      <c r="B174" s="11">
        <f>1/C173</f>
        <v>0.2</v>
      </c>
      <c r="C174" s="11">
        <v>1</v>
      </c>
      <c r="D174" s="11">
        <f>IF('Input Responden'!G18&gt;=0,IF('Input Responden'!G18=0,1,'Input Responden'!G18),1/ABS('Input Responden'!G18))</f>
        <v>5</v>
      </c>
      <c r="E174" s="11">
        <f>IF('Input Responden'!H18&gt;=0,IF('Input Responden'!H18=0,1,'Input Responden'!H18),1/ABS('Input Responden'!H18))</f>
        <v>5</v>
      </c>
      <c r="G174" s="12">
        <f>AVERAGE(B174/B$177,C174/C$177,D174/D$177,E174/E$177)</f>
        <v>0.26004464285714285</v>
      </c>
      <c r="H174" s="11">
        <f>B174*$G$173+C174*$G$174+D174*$G$175+E174*$G$176</f>
        <v>1.361607142857143</v>
      </c>
      <c r="I174" s="11">
        <f>H174/G174</f>
        <v>5.2360515021459237</v>
      </c>
    </row>
    <row r="175" spans="1:9" x14ac:dyDescent="0.3">
      <c r="A175" s="10" t="s">
        <v>60</v>
      </c>
      <c r="B175" s="11">
        <f>1/D173</f>
        <v>0.2</v>
      </c>
      <c r="C175" s="11">
        <f>1/D174</f>
        <v>0.2</v>
      </c>
      <c r="D175" s="11">
        <v>1</v>
      </c>
      <c r="E175" s="11">
        <f>IF('Input Responden'!I18&gt;=0,IF('Input Responden'!I18=0,1,'Input Responden'!I18),1/ABS('Input Responden'!I18))</f>
        <v>5</v>
      </c>
      <c r="G175" s="12">
        <f>AVERAGE(B175/B$177,C175/C$177,D175/D$177,E175/E$177)</f>
        <v>0.13950892857142858</v>
      </c>
      <c r="H175" s="11">
        <f>B175*$G$173+C175*$G$174+D175*$G$175+E175*$G$176</f>
        <v>0.59553571428571428</v>
      </c>
      <c r="I175" s="11">
        <f>H175/G175</f>
        <v>4.2687999999999997</v>
      </c>
    </row>
    <row r="176" spans="1:9" x14ac:dyDescent="0.3">
      <c r="A176" s="10" t="s">
        <v>61</v>
      </c>
      <c r="B176" s="11">
        <f>1/E173</f>
        <v>0.2</v>
      </c>
      <c r="C176" s="11">
        <f>1/E174</f>
        <v>0.2</v>
      </c>
      <c r="D176" s="11">
        <f>1/E175</f>
        <v>0.2</v>
      </c>
      <c r="E176" s="11">
        <v>1</v>
      </c>
      <c r="G176" s="12">
        <f>AVERAGE(B176/B$177,C176/C$177,D176/D$177,E176/E$177)</f>
        <v>5.9151785714285719E-2</v>
      </c>
      <c r="H176" s="11">
        <f>B176*$G$173+C176*$G$174+D176*$G$175+E176*$G$176</f>
        <v>0.24732142857142858</v>
      </c>
      <c r="I176" s="11">
        <f>H176/G176</f>
        <v>4.1811320754716981</v>
      </c>
    </row>
    <row r="177" spans="1:9" x14ac:dyDescent="0.3">
      <c r="A177" s="13" t="s">
        <v>65</v>
      </c>
      <c r="B177" s="11">
        <f>SUM(B173:B176)</f>
        <v>1.5999999999999999</v>
      </c>
      <c r="C177" s="11">
        <f>SUM(C173:C176)</f>
        <v>6.4</v>
      </c>
      <c r="D177" s="11">
        <f>SUM(D173:D176)</f>
        <v>11.2</v>
      </c>
      <c r="E177" s="11">
        <f>SUM(E173:E176)</f>
        <v>16</v>
      </c>
    </row>
    <row r="178" spans="1:9" x14ac:dyDescent="0.3">
      <c r="A178" s="1" t="s">
        <v>66</v>
      </c>
      <c r="G178" s="12">
        <f>AVERAGE(I173:I176)</f>
        <v>4.7307742449198695</v>
      </c>
    </row>
    <row r="179" spans="1:9" x14ac:dyDescent="0.3">
      <c r="A179" s="1" t="s">
        <v>67</v>
      </c>
      <c r="G179" s="12">
        <f>(G178-4)/(4-1)</f>
        <v>0.24359141497328984</v>
      </c>
    </row>
    <row r="180" spans="1:9" x14ac:dyDescent="0.3">
      <c r="A180" s="29" t="s">
        <v>68</v>
      </c>
      <c r="B180" s="29"/>
      <c r="C180" s="29"/>
      <c r="D180" s="29"/>
      <c r="G180" s="14">
        <f>G179/0.9</f>
        <v>0.2706571277480998</v>
      </c>
    </row>
    <row r="181" spans="1:9" ht="41.4" x14ac:dyDescent="0.3">
      <c r="A181" s="1" t="s">
        <v>69</v>
      </c>
      <c r="G181" s="15" t="str">
        <f>IF('Input Responden'!B18="","Belum diisi",IF(G180&lt;=0.1,"Konsisten - dipakai","Tidak Konsisten - dikecualikan"))</f>
        <v>Tidak Konsisten - dikecualikan</v>
      </c>
    </row>
    <row r="183" spans="1:9" x14ac:dyDescent="0.3">
      <c r="A183" s="9" t="s">
        <v>84</v>
      </c>
      <c r="B183" s="28" t="str">
        <f>'Input Responden'!B19</f>
        <v>MUH HUSAIN FAUZAN</v>
      </c>
      <c r="C183" s="28"/>
      <c r="D183" s="28"/>
    </row>
    <row r="184" spans="1:9" x14ac:dyDescent="0.3">
      <c r="A184" s="10"/>
      <c r="B184" s="10" t="s">
        <v>58</v>
      </c>
      <c r="C184" s="10" t="s">
        <v>59</v>
      </c>
      <c r="D184" s="10" t="s">
        <v>60</v>
      </c>
      <c r="E184" s="10" t="s">
        <v>61</v>
      </c>
      <c r="F184" s="10"/>
      <c r="G184" s="10" t="s">
        <v>62</v>
      </c>
      <c r="H184" s="10" t="s">
        <v>63</v>
      </c>
      <c r="I184" s="10" t="s">
        <v>64</v>
      </c>
    </row>
    <row r="185" spans="1:9" x14ac:dyDescent="0.3">
      <c r="A185" s="10" t="s">
        <v>58</v>
      </c>
      <c r="B185" s="11">
        <v>1</v>
      </c>
      <c r="C185" s="11">
        <f>IF('Input Responden'!D19&gt;=0,IF('Input Responden'!D19=0,1,'Input Responden'!D19),1/ABS('Input Responden'!D19))</f>
        <v>1</v>
      </c>
      <c r="D185" s="11">
        <f>IF('Input Responden'!E19&gt;=0,IF('Input Responden'!E19=0,1,'Input Responden'!E19),1/ABS('Input Responden'!E19))</f>
        <v>1</v>
      </c>
      <c r="E185" s="11">
        <f>IF('Input Responden'!F19&gt;=0,IF('Input Responden'!F19=0,1,'Input Responden'!F19),1/ABS('Input Responden'!F19))</f>
        <v>1</v>
      </c>
      <c r="G185" s="12">
        <f>AVERAGE(B185/B$189,C185/C$189,D185/D$189,E185/E$189)</f>
        <v>0.25</v>
      </c>
      <c r="H185" s="11">
        <f>B185*$G$185+C185*$G$186+D185*$G$187+E185*$G$188</f>
        <v>1</v>
      </c>
      <c r="I185" s="11">
        <f>H185/G185</f>
        <v>4</v>
      </c>
    </row>
    <row r="186" spans="1:9" x14ac:dyDescent="0.3">
      <c r="A186" s="10" t="s">
        <v>59</v>
      </c>
      <c r="B186" s="11">
        <f>1/C185</f>
        <v>1</v>
      </c>
      <c r="C186" s="11">
        <v>1</v>
      </c>
      <c r="D186" s="11">
        <f>IF('Input Responden'!G19&gt;=0,IF('Input Responden'!G19=0,1,'Input Responden'!G19),1/ABS('Input Responden'!G19))</f>
        <v>1</v>
      </c>
      <c r="E186" s="11">
        <f>IF('Input Responden'!H19&gt;=0,IF('Input Responden'!H19=0,1,'Input Responden'!H19),1/ABS('Input Responden'!H19))</f>
        <v>1</v>
      </c>
      <c r="G186" s="12">
        <f>AVERAGE(B186/B$189,C186/C$189,D186/D$189,E186/E$189)</f>
        <v>0.25</v>
      </c>
      <c r="H186" s="11">
        <f>B186*$G$185+C186*$G$186+D186*$G$187+E186*$G$188</f>
        <v>1</v>
      </c>
      <c r="I186" s="11">
        <f>H186/G186</f>
        <v>4</v>
      </c>
    </row>
    <row r="187" spans="1:9" x14ac:dyDescent="0.3">
      <c r="A187" s="10" t="s">
        <v>60</v>
      </c>
      <c r="B187" s="11">
        <f>1/D185</f>
        <v>1</v>
      </c>
      <c r="C187" s="11">
        <f>1/D186</f>
        <v>1</v>
      </c>
      <c r="D187" s="11">
        <v>1</v>
      </c>
      <c r="E187" s="11">
        <f>IF('Input Responden'!I19&gt;=0,IF('Input Responden'!I19=0,1,'Input Responden'!I19),1/ABS('Input Responden'!I19))</f>
        <v>1</v>
      </c>
      <c r="G187" s="12">
        <f>AVERAGE(B187/B$189,C187/C$189,D187/D$189,E187/E$189)</f>
        <v>0.25</v>
      </c>
      <c r="H187" s="11">
        <f>B187*$G$185+C187*$G$186+D187*$G$187+E187*$G$188</f>
        <v>1</v>
      </c>
      <c r="I187" s="11">
        <f>H187/G187</f>
        <v>4</v>
      </c>
    </row>
    <row r="188" spans="1:9" x14ac:dyDescent="0.3">
      <c r="A188" s="10" t="s">
        <v>61</v>
      </c>
      <c r="B188" s="11">
        <f>1/E185</f>
        <v>1</v>
      </c>
      <c r="C188" s="11">
        <f>1/E186</f>
        <v>1</v>
      </c>
      <c r="D188" s="11">
        <f>1/E187</f>
        <v>1</v>
      </c>
      <c r="E188" s="11">
        <v>1</v>
      </c>
      <c r="G188" s="12">
        <f>AVERAGE(B188/B$189,C188/C$189,D188/D$189,E188/E$189)</f>
        <v>0.25</v>
      </c>
      <c r="H188" s="11">
        <f>B188*$G$185+C188*$G$186+D188*$G$187+E188*$G$188</f>
        <v>1</v>
      </c>
      <c r="I188" s="11">
        <f>H188/G188</f>
        <v>4</v>
      </c>
    </row>
    <row r="189" spans="1:9" x14ac:dyDescent="0.3">
      <c r="A189" s="13" t="s">
        <v>65</v>
      </c>
      <c r="B189" s="11">
        <f>SUM(B185:B188)</f>
        <v>4</v>
      </c>
      <c r="C189" s="11">
        <f>SUM(C185:C188)</f>
        <v>4</v>
      </c>
      <c r="D189" s="11">
        <f>SUM(D185:D188)</f>
        <v>4</v>
      </c>
      <c r="E189" s="11">
        <f>SUM(E185:E188)</f>
        <v>4</v>
      </c>
    </row>
    <row r="190" spans="1:9" x14ac:dyDescent="0.3">
      <c r="A190" s="1" t="s">
        <v>66</v>
      </c>
      <c r="G190" s="12">
        <f>AVERAGE(I185:I188)</f>
        <v>4</v>
      </c>
    </row>
    <row r="191" spans="1:9" x14ac:dyDescent="0.3">
      <c r="A191" s="1" t="s">
        <v>67</v>
      </c>
      <c r="G191" s="12">
        <f>(G190-4)/(4-1)</f>
        <v>0</v>
      </c>
    </row>
    <row r="192" spans="1:9" x14ac:dyDescent="0.3">
      <c r="A192" s="29" t="s">
        <v>68</v>
      </c>
      <c r="B192" s="29"/>
      <c r="C192" s="29"/>
      <c r="D192" s="29"/>
      <c r="G192" s="14">
        <f>G191/0.9</f>
        <v>0</v>
      </c>
    </row>
    <row r="193" spans="1:9" ht="27.6" x14ac:dyDescent="0.3">
      <c r="A193" s="1" t="s">
        <v>69</v>
      </c>
      <c r="G193" s="15" t="str">
        <f>IF('Input Responden'!B19="","Belum diisi",IF(G192&lt;=0.1,"Konsisten - dipakai","Tidak Konsisten - dikecualikan"))</f>
        <v>Konsisten - dipakai</v>
      </c>
    </row>
    <row r="195" spans="1:9" x14ac:dyDescent="0.3">
      <c r="A195" s="9" t="s">
        <v>85</v>
      </c>
      <c r="B195" s="28" t="str">
        <f>'Input Responden'!B20</f>
        <v xml:space="preserve">ROKI SAPUTRA </v>
      </c>
      <c r="C195" s="28"/>
      <c r="D195" s="28"/>
    </row>
    <row r="196" spans="1:9" x14ac:dyDescent="0.3">
      <c r="A196" s="10"/>
      <c r="B196" s="10" t="s">
        <v>58</v>
      </c>
      <c r="C196" s="10" t="s">
        <v>59</v>
      </c>
      <c r="D196" s="10" t="s">
        <v>60</v>
      </c>
      <c r="E196" s="10" t="s">
        <v>61</v>
      </c>
      <c r="F196" s="10"/>
      <c r="G196" s="10" t="s">
        <v>62</v>
      </c>
      <c r="H196" s="10" t="s">
        <v>63</v>
      </c>
      <c r="I196" s="10" t="s">
        <v>64</v>
      </c>
    </row>
    <row r="197" spans="1:9" x14ac:dyDescent="0.3">
      <c r="A197" s="10" t="s">
        <v>58</v>
      </c>
      <c r="B197" s="11">
        <v>1</v>
      </c>
      <c r="C197" s="11">
        <f>IF('Input Responden'!D20&gt;=0,IF('Input Responden'!D20=0,1,'Input Responden'!D20),1/ABS('Input Responden'!D20))</f>
        <v>5</v>
      </c>
      <c r="D197" s="11">
        <f>IF('Input Responden'!E20&gt;=0,IF('Input Responden'!E20=0,1,'Input Responden'!E20),1/ABS('Input Responden'!E20))</f>
        <v>5</v>
      </c>
      <c r="E197" s="11">
        <f>IF('Input Responden'!F20&gt;=0,IF('Input Responden'!F20=0,1,'Input Responden'!F20),1/ABS('Input Responden'!F20))</f>
        <v>5</v>
      </c>
      <c r="G197" s="12">
        <f>AVERAGE(B197/B$201,C197/C$201,D197/D$201,E197/E$201)</f>
        <v>0.54129464285714279</v>
      </c>
      <c r="H197" s="11">
        <f>B197*$G$197+C197*$G$198+D197*$G$199+E197*$G$200</f>
        <v>2.8348214285714288</v>
      </c>
      <c r="I197" s="11">
        <f>H197/G197</f>
        <v>5.2371134020618566</v>
      </c>
    </row>
    <row r="198" spans="1:9" x14ac:dyDescent="0.3">
      <c r="A198" s="10" t="s">
        <v>59</v>
      </c>
      <c r="B198" s="11">
        <f>1/C197</f>
        <v>0.2</v>
      </c>
      <c r="C198" s="11">
        <v>1</v>
      </c>
      <c r="D198" s="11">
        <f>IF('Input Responden'!G20&gt;=0,IF('Input Responden'!G20=0,1,'Input Responden'!G20),1/ABS('Input Responden'!G20))</f>
        <v>5</v>
      </c>
      <c r="E198" s="11">
        <f>IF('Input Responden'!H20&gt;=0,IF('Input Responden'!H20=0,1,'Input Responden'!H20),1/ABS('Input Responden'!H20))</f>
        <v>5</v>
      </c>
      <c r="G198" s="12">
        <f>AVERAGE(B198/B$201,C198/C$201,D198/D$201,E198/E$201)</f>
        <v>0.26004464285714285</v>
      </c>
      <c r="H198" s="11">
        <f>B198*$G$197+C198*$G$198+D198*$G$199+E198*$G$200</f>
        <v>1.361607142857143</v>
      </c>
      <c r="I198" s="11">
        <f>H198/G198</f>
        <v>5.2360515021459237</v>
      </c>
    </row>
    <row r="199" spans="1:9" x14ac:dyDescent="0.3">
      <c r="A199" s="10" t="s">
        <v>60</v>
      </c>
      <c r="B199" s="11">
        <f>1/D197</f>
        <v>0.2</v>
      </c>
      <c r="C199" s="11">
        <f>1/D198</f>
        <v>0.2</v>
      </c>
      <c r="D199" s="11">
        <v>1</v>
      </c>
      <c r="E199" s="11">
        <f>IF('Input Responden'!I20&gt;=0,IF('Input Responden'!I20=0,1,'Input Responden'!I20),1/ABS('Input Responden'!I20))</f>
        <v>5</v>
      </c>
      <c r="G199" s="12">
        <f>AVERAGE(B199/B$201,C199/C$201,D199/D$201,E199/E$201)</f>
        <v>0.13950892857142858</v>
      </c>
      <c r="H199" s="11">
        <f>B199*$G$197+C199*$G$198+D199*$G$199+E199*$G$200</f>
        <v>0.59553571428571428</v>
      </c>
      <c r="I199" s="11">
        <f>H199/G199</f>
        <v>4.2687999999999997</v>
      </c>
    </row>
    <row r="200" spans="1:9" x14ac:dyDescent="0.3">
      <c r="A200" s="10" t="s">
        <v>61</v>
      </c>
      <c r="B200" s="11">
        <f>1/E197</f>
        <v>0.2</v>
      </c>
      <c r="C200" s="11">
        <f>1/E198</f>
        <v>0.2</v>
      </c>
      <c r="D200" s="11">
        <f>1/E199</f>
        <v>0.2</v>
      </c>
      <c r="E200" s="11">
        <v>1</v>
      </c>
      <c r="G200" s="12">
        <f>AVERAGE(B200/B$201,C200/C$201,D200/D$201,E200/E$201)</f>
        <v>5.9151785714285719E-2</v>
      </c>
      <c r="H200" s="11">
        <f>B200*$G$197+C200*$G$198+D200*$G$199+E200*$G$200</f>
        <v>0.24732142857142858</v>
      </c>
      <c r="I200" s="11">
        <f>H200/G200</f>
        <v>4.1811320754716981</v>
      </c>
    </row>
    <row r="201" spans="1:9" x14ac:dyDescent="0.3">
      <c r="A201" s="13" t="s">
        <v>65</v>
      </c>
      <c r="B201" s="11">
        <f>SUM(B197:B200)</f>
        <v>1.5999999999999999</v>
      </c>
      <c r="C201" s="11">
        <f>SUM(C197:C200)</f>
        <v>6.4</v>
      </c>
      <c r="D201" s="11">
        <f>SUM(D197:D200)</f>
        <v>11.2</v>
      </c>
      <c r="E201" s="11">
        <f>SUM(E197:E200)</f>
        <v>16</v>
      </c>
    </row>
    <row r="202" spans="1:9" x14ac:dyDescent="0.3">
      <c r="A202" s="1" t="s">
        <v>66</v>
      </c>
      <c r="G202" s="12">
        <f>AVERAGE(I197:I200)</f>
        <v>4.7307742449198695</v>
      </c>
    </row>
    <row r="203" spans="1:9" x14ac:dyDescent="0.3">
      <c r="A203" s="1" t="s">
        <v>67</v>
      </c>
      <c r="G203" s="12">
        <f>(G202-4)/(4-1)</f>
        <v>0.24359141497328984</v>
      </c>
    </row>
    <row r="204" spans="1:9" x14ac:dyDescent="0.3">
      <c r="A204" s="29" t="s">
        <v>68</v>
      </c>
      <c r="B204" s="29"/>
      <c r="C204" s="29"/>
      <c r="D204" s="29"/>
      <c r="G204" s="14">
        <f>G203/0.9</f>
        <v>0.2706571277480998</v>
      </c>
    </row>
    <row r="205" spans="1:9" ht="41.4" x14ac:dyDescent="0.3">
      <c r="A205" s="1" t="s">
        <v>69</v>
      </c>
      <c r="G205" s="15" t="str">
        <f>IF('Input Responden'!B20="","Belum diisi",IF(G204&lt;=0.1,"Konsisten - dipakai","Tidak Konsisten - dikecualikan"))</f>
        <v>Tidak Konsisten - dikecualikan</v>
      </c>
    </row>
    <row r="207" spans="1:9" x14ac:dyDescent="0.3">
      <c r="A207" s="9" t="s">
        <v>86</v>
      </c>
      <c r="B207" s="28" t="str">
        <f>'Input Responden'!B21</f>
        <v>Dimas</v>
      </c>
      <c r="C207" s="28"/>
      <c r="D207" s="28"/>
    </row>
    <row r="208" spans="1:9" x14ac:dyDescent="0.3">
      <c r="A208" s="10"/>
      <c r="B208" s="10" t="s">
        <v>58</v>
      </c>
      <c r="C208" s="10" t="s">
        <v>59</v>
      </c>
      <c r="D208" s="10" t="s">
        <v>60</v>
      </c>
      <c r="E208" s="10" t="s">
        <v>61</v>
      </c>
      <c r="F208" s="10"/>
      <c r="G208" s="10" t="s">
        <v>62</v>
      </c>
      <c r="H208" s="10" t="s">
        <v>63</v>
      </c>
      <c r="I208" s="10" t="s">
        <v>64</v>
      </c>
    </row>
    <row r="209" spans="1:9" x14ac:dyDescent="0.3">
      <c r="A209" s="10" t="s">
        <v>58</v>
      </c>
      <c r="B209" s="11">
        <v>1</v>
      </c>
      <c r="C209" s="11">
        <f>IF('Input Responden'!D21&gt;=0,IF('Input Responden'!D21=0,1,'Input Responden'!D21),1/ABS('Input Responden'!D21))</f>
        <v>1</v>
      </c>
      <c r="D209" s="11">
        <f>IF('Input Responden'!E21&gt;=0,IF('Input Responden'!E21=0,1,'Input Responden'!E21),1/ABS('Input Responden'!E21))</f>
        <v>1</v>
      </c>
      <c r="E209" s="11">
        <f>IF('Input Responden'!F21&gt;=0,IF('Input Responden'!F21=0,1,'Input Responden'!F21),1/ABS('Input Responden'!F21))</f>
        <v>1</v>
      </c>
      <c r="G209" s="12">
        <f>AVERAGE(B209/B$213,C209/C$213,D209/D$213,E209/E$213)</f>
        <v>0.25</v>
      </c>
      <c r="H209" s="11">
        <f>B209*$G$209+C209*$G$210+D209*$G$211+E209*$G$212</f>
        <v>1</v>
      </c>
      <c r="I209" s="11">
        <f>H209/G209</f>
        <v>4</v>
      </c>
    </row>
    <row r="210" spans="1:9" x14ac:dyDescent="0.3">
      <c r="A210" s="10" t="s">
        <v>59</v>
      </c>
      <c r="B210" s="11">
        <f>1/C209</f>
        <v>1</v>
      </c>
      <c r="C210" s="11">
        <v>1</v>
      </c>
      <c r="D210" s="11">
        <f>IF('Input Responden'!G21&gt;=0,IF('Input Responden'!G21=0,1,'Input Responden'!G21),1/ABS('Input Responden'!G21))</f>
        <v>1</v>
      </c>
      <c r="E210" s="11">
        <f>IF('Input Responden'!H21&gt;=0,IF('Input Responden'!H21=0,1,'Input Responden'!H21),1/ABS('Input Responden'!H21))</f>
        <v>1</v>
      </c>
      <c r="G210" s="12">
        <f>AVERAGE(B210/B$213,C210/C$213,D210/D$213,E210/E$213)</f>
        <v>0.25</v>
      </c>
      <c r="H210" s="11">
        <f>B210*$G$209+C210*$G$210+D210*$G$211+E210*$G$212</f>
        <v>1</v>
      </c>
      <c r="I210" s="11">
        <f>H210/G210</f>
        <v>4</v>
      </c>
    </row>
    <row r="211" spans="1:9" x14ac:dyDescent="0.3">
      <c r="A211" s="10" t="s">
        <v>60</v>
      </c>
      <c r="B211" s="11">
        <f>1/D209</f>
        <v>1</v>
      </c>
      <c r="C211" s="11">
        <f>1/D210</f>
        <v>1</v>
      </c>
      <c r="D211" s="11">
        <v>1</v>
      </c>
      <c r="E211" s="11">
        <f>IF('Input Responden'!I21&gt;=0,IF('Input Responden'!I21=0,1,'Input Responden'!I21),1/ABS('Input Responden'!I21))</f>
        <v>1</v>
      </c>
      <c r="G211" s="12">
        <f>AVERAGE(B211/B$213,C211/C$213,D211/D$213,E211/E$213)</f>
        <v>0.25</v>
      </c>
      <c r="H211" s="11">
        <f>B211*$G$209+C211*$G$210+D211*$G$211+E211*$G$212</f>
        <v>1</v>
      </c>
      <c r="I211" s="11">
        <f>H211/G211</f>
        <v>4</v>
      </c>
    </row>
    <row r="212" spans="1:9" x14ac:dyDescent="0.3">
      <c r="A212" s="10" t="s">
        <v>61</v>
      </c>
      <c r="B212" s="11">
        <f>1/E209</f>
        <v>1</v>
      </c>
      <c r="C212" s="11">
        <f>1/E210</f>
        <v>1</v>
      </c>
      <c r="D212" s="11">
        <f>1/E211</f>
        <v>1</v>
      </c>
      <c r="E212" s="11">
        <v>1</v>
      </c>
      <c r="G212" s="12">
        <f>AVERAGE(B212/B$213,C212/C$213,D212/D$213,E212/E$213)</f>
        <v>0.25</v>
      </c>
      <c r="H212" s="11">
        <f>B212*$G$209+C212*$G$210+D212*$G$211+E212*$G$212</f>
        <v>1</v>
      </c>
      <c r="I212" s="11">
        <f>H212/G212</f>
        <v>4</v>
      </c>
    </row>
    <row r="213" spans="1:9" x14ac:dyDescent="0.3">
      <c r="A213" s="13" t="s">
        <v>65</v>
      </c>
      <c r="B213" s="11">
        <f>SUM(B209:B212)</f>
        <v>4</v>
      </c>
      <c r="C213" s="11">
        <f>SUM(C209:C212)</f>
        <v>4</v>
      </c>
      <c r="D213" s="11">
        <f>SUM(D209:D212)</f>
        <v>4</v>
      </c>
      <c r="E213" s="11">
        <f>SUM(E209:E212)</f>
        <v>4</v>
      </c>
    </row>
    <row r="214" spans="1:9" x14ac:dyDescent="0.3">
      <c r="A214" s="1" t="s">
        <v>66</v>
      </c>
      <c r="G214" s="12">
        <f>AVERAGE(I209:I212)</f>
        <v>4</v>
      </c>
    </row>
    <row r="215" spans="1:9" x14ac:dyDescent="0.3">
      <c r="A215" s="1" t="s">
        <v>67</v>
      </c>
      <c r="G215" s="12">
        <f>(G214-4)/(4-1)</f>
        <v>0</v>
      </c>
    </row>
    <row r="216" spans="1:9" x14ac:dyDescent="0.3">
      <c r="A216" s="29" t="s">
        <v>68</v>
      </c>
      <c r="B216" s="29"/>
      <c r="C216" s="29"/>
      <c r="D216" s="29"/>
      <c r="G216" s="14">
        <f>G215/0.9</f>
        <v>0</v>
      </c>
    </row>
    <row r="217" spans="1:9" ht="27.6" x14ac:dyDescent="0.3">
      <c r="A217" s="1" t="s">
        <v>69</v>
      </c>
      <c r="G217" s="15" t="str">
        <f>IF('Input Responden'!B21="","Belum diisi",IF(G216&lt;=0.1,"Konsisten - dipakai","Tidak Konsisten - dikecualikan"))</f>
        <v>Konsisten - dipakai</v>
      </c>
    </row>
    <row r="219" spans="1:9" x14ac:dyDescent="0.3">
      <c r="A219" s="9" t="s">
        <v>87</v>
      </c>
      <c r="B219" s="28" t="str">
        <f>'Input Responden'!B22</f>
        <v>Fandi</v>
      </c>
      <c r="C219" s="28"/>
      <c r="D219" s="28"/>
    </row>
    <row r="220" spans="1:9" x14ac:dyDescent="0.3">
      <c r="A220" s="10"/>
      <c r="B220" s="10" t="s">
        <v>58</v>
      </c>
      <c r="C220" s="10" t="s">
        <v>59</v>
      </c>
      <c r="D220" s="10" t="s">
        <v>60</v>
      </c>
      <c r="E220" s="10" t="s">
        <v>61</v>
      </c>
      <c r="F220" s="10"/>
      <c r="G220" s="10" t="s">
        <v>62</v>
      </c>
      <c r="H220" s="10" t="s">
        <v>63</v>
      </c>
      <c r="I220" s="10" t="s">
        <v>64</v>
      </c>
    </row>
    <row r="221" spans="1:9" x14ac:dyDescent="0.3">
      <c r="A221" s="10" t="s">
        <v>58</v>
      </c>
      <c r="B221" s="11">
        <v>1</v>
      </c>
      <c r="C221" s="11">
        <f>IF('Input Responden'!D22&gt;=0,IF('Input Responden'!D22=0,1,'Input Responden'!D22),1/ABS('Input Responden'!D22))</f>
        <v>3</v>
      </c>
      <c r="D221" s="11">
        <f>IF('Input Responden'!E22&gt;=0,IF('Input Responden'!E22=0,1,'Input Responden'!E22),1/ABS('Input Responden'!E22))</f>
        <v>3</v>
      </c>
      <c r="E221" s="11">
        <f>IF('Input Responden'!F22&gt;=0,IF('Input Responden'!F22=0,1,'Input Responden'!F22),1/ABS('Input Responden'!F22))</f>
        <v>3</v>
      </c>
      <c r="G221" s="12">
        <f>AVERAGE(B221/B$225,C221/C$225,D221/D$225,E221/E$225)</f>
        <v>0.462987012987013</v>
      </c>
      <c r="H221" s="11">
        <f>B221*$G$221+C221*$G$222+D221*$G$223+E221*$G$224</f>
        <v>2.0740259740259743</v>
      </c>
      <c r="I221" s="11">
        <f>H221/G221</f>
        <v>4.4796633941093971</v>
      </c>
    </row>
    <row r="222" spans="1:9" x14ac:dyDescent="0.3">
      <c r="A222" s="10" t="s">
        <v>59</v>
      </c>
      <c r="B222" s="11">
        <f>1/C221</f>
        <v>0.33333333333333331</v>
      </c>
      <c r="C222" s="11">
        <v>1</v>
      </c>
      <c r="D222" s="11">
        <f>IF('Input Responden'!G22&gt;=0,IF('Input Responden'!G22=0,1,'Input Responden'!G22),1/ABS('Input Responden'!G22))</f>
        <v>3</v>
      </c>
      <c r="E222" s="11">
        <f>IF('Input Responden'!H22&gt;=0,IF('Input Responden'!H22=0,1,'Input Responden'!H22),1/ABS('Input Responden'!H22))</f>
        <v>3</v>
      </c>
      <c r="G222" s="12">
        <f>AVERAGE(B222/B$225,C222/C$225,D222/D$225,E222/E$225)</f>
        <v>0.27251082251082254</v>
      </c>
      <c r="H222" s="11">
        <f>B222*$G$221+C222*$G$222+D222*$G$223+E222*$G$224</f>
        <v>1.2203463203463203</v>
      </c>
      <c r="I222" s="11">
        <f>H222/G222</f>
        <v>4.4781572676727555</v>
      </c>
    </row>
    <row r="223" spans="1:9" x14ac:dyDescent="0.3">
      <c r="A223" s="10" t="s">
        <v>60</v>
      </c>
      <c r="B223" s="11">
        <f>1/D221</f>
        <v>0.33333333333333331</v>
      </c>
      <c r="C223" s="11">
        <f>1/D222</f>
        <v>0.33333333333333331</v>
      </c>
      <c r="D223" s="11">
        <v>1</v>
      </c>
      <c r="E223" s="11">
        <f>IF('Input Responden'!I22&gt;=0,IF('Input Responden'!I22=0,1,'Input Responden'!I22),1/ABS('Input Responden'!I22))</f>
        <v>3</v>
      </c>
      <c r="G223" s="12">
        <f>AVERAGE(B223/B$225,C223/C$225,D223/D$225,E223/E$225)</f>
        <v>0.16861471861471861</v>
      </c>
      <c r="H223" s="11">
        <f>B223*$G$221+C223*$G$222+D223*$G$223+E223*$G$224</f>
        <v>0.70144300144300153</v>
      </c>
      <c r="I223" s="11">
        <f>H223/G223</f>
        <v>4.1600342319212675</v>
      </c>
    </row>
    <row r="224" spans="1:9" x14ac:dyDescent="0.3">
      <c r="A224" s="10" t="s">
        <v>61</v>
      </c>
      <c r="B224" s="11">
        <f>1/E221</f>
        <v>0.33333333333333331</v>
      </c>
      <c r="C224" s="11">
        <f>1/E222</f>
        <v>0.33333333333333331</v>
      </c>
      <c r="D224" s="11">
        <f>1/E223</f>
        <v>0.33333333333333331</v>
      </c>
      <c r="E224" s="11">
        <v>1</v>
      </c>
      <c r="G224" s="12">
        <f>AVERAGE(B224/B$225,C224/C$225,D224/D$225,E224/E$225)</f>
        <v>9.588744588744591E-2</v>
      </c>
      <c r="H224" s="11">
        <f>B224*$G$221+C224*$G$222+D224*$G$223+E224*$G$224</f>
        <v>0.39725829725829725</v>
      </c>
      <c r="I224" s="11">
        <f>H224/G224</f>
        <v>4.1429646350639571</v>
      </c>
    </row>
    <row r="225" spans="1:9" x14ac:dyDescent="0.3">
      <c r="A225" s="13" t="s">
        <v>65</v>
      </c>
      <c r="B225" s="11">
        <f>SUM(B221:B224)</f>
        <v>1.9999999999999998</v>
      </c>
      <c r="C225" s="11">
        <f>SUM(C221:C224)</f>
        <v>4.6666666666666661</v>
      </c>
      <c r="D225" s="11">
        <f>SUM(D221:D224)</f>
        <v>7.333333333333333</v>
      </c>
      <c r="E225" s="11">
        <f>SUM(E221:E224)</f>
        <v>10</v>
      </c>
    </row>
    <row r="226" spans="1:9" x14ac:dyDescent="0.3">
      <c r="A226" s="1" t="s">
        <v>66</v>
      </c>
      <c r="G226" s="12">
        <f>AVERAGE(I221:I224)</f>
        <v>4.3152048821918445</v>
      </c>
    </row>
    <row r="227" spans="1:9" x14ac:dyDescent="0.3">
      <c r="A227" s="1" t="s">
        <v>67</v>
      </c>
      <c r="G227" s="12">
        <f>(G226-4)/(4-1)</f>
        <v>0.10506829406394817</v>
      </c>
    </row>
    <row r="228" spans="1:9" x14ac:dyDescent="0.3">
      <c r="A228" s="29" t="s">
        <v>68</v>
      </c>
      <c r="B228" s="29"/>
      <c r="C228" s="29"/>
      <c r="D228" s="29"/>
      <c r="G228" s="14">
        <f>G227/0.9</f>
        <v>0.1167425489599424</v>
      </c>
    </row>
    <row r="229" spans="1:9" ht="41.4" x14ac:dyDescent="0.3">
      <c r="A229" s="1" t="s">
        <v>69</v>
      </c>
      <c r="G229" s="15" t="str">
        <f>IF('Input Responden'!B22="","Belum diisi",IF(G228&lt;=0.1,"Konsisten - dipakai","Tidak Konsisten - dikecualikan"))</f>
        <v>Tidak Konsisten - dikecualikan</v>
      </c>
    </row>
    <row r="231" spans="1:9" x14ac:dyDescent="0.3">
      <c r="A231" s="9" t="s">
        <v>88</v>
      </c>
      <c r="B231" s="28" t="str">
        <f>'Input Responden'!B23</f>
        <v xml:space="preserve">ACHMAD SHOLEH </v>
      </c>
      <c r="C231" s="28"/>
      <c r="D231" s="28"/>
    </row>
    <row r="232" spans="1:9" x14ac:dyDescent="0.3">
      <c r="A232" s="10"/>
      <c r="B232" s="10" t="s">
        <v>58</v>
      </c>
      <c r="C232" s="10" t="s">
        <v>59</v>
      </c>
      <c r="D232" s="10" t="s">
        <v>60</v>
      </c>
      <c r="E232" s="10" t="s">
        <v>61</v>
      </c>
      <c r="F232" s="10"/>
      <c r="G232" s="10" t="s">
        <v>62</v>
      </c>
      <c r="H232" s="10" t="s">
        <v>63</v>
      </c>
      <c r="I232" s="10" t="s">
        <v>64</v>
      </c>
    </row>
    <row r="233" spans="1:9" x14ac:dyDescent="0.3">
      <c r="A233" s="10" t="s">
        <v>58</v>
      </c>
      <c r="B233" s="11">
        <v>1</v>
      </c>
      <c r="C233" s="11">
        <f>IF('Input Responden'!D23&gt;=0,IF('Input Responden'!D23=0,1,'Input Responden'!D23),1/ABS('Input Responden'!D23))</f>
        <v>5</v>
      </c>
      <c r="D233" s="11">
        <f>IF('Input Responden'!E23&gt;=0,IF('Input Responden'!E23=0,1,'Input Responden'!E23),1/ABS('Input Responden'!E23))</f>
        <v>5</v>
      </c>
      <c r="E233" s="11">
        <f>IF('Input Responden'!F23&gt;=0,IF('Input Responden'!F23=0,1,'Input Responden'!F23),1/ABS('Input Responden'!F23))</f>
        <v>5</v>
      </c>
      <c r="G233" s="12">
        <f>AVERAGE(B233/B$237,C233/C$237,D233/D$237,E233/E$237)</f>
        <v>0.54129464285714279</v>
      </c>
      <c r="H233" s="11">
        <f>B233*$G$233+C233*$G$234+D233*$G$235+E233*$G$236</f>
        <v>2.8348214285714288</v>
      </c>
      <c r="I233" s="11">
        <f>H233/G233</f>
        <v>5.2371134020618566</v>
      </c>
    </row>
    <row r="234" spans="1:9" x14ac:dyDescent="0.3">
      <c r="A234" s="10" t="s">
        <v>59</v>
      </c>
      <c r="B234" s="11">
        <f>1/C233</f>
        <v>0.2</v>
      </c>
      <c r="C234" s="11">
        <v>1</v>
      </c>
      <c r="D234" s="11">
        <f>IF('Input Responden'!G23&gt;=0,IF('Input Responden'!G23=0,1,'Input Responden'!G23),1/ABS('Input Responden'!G23))</f>
        <v>0.2</v>
      </c>
      <c r="E234" s="11">
        <f>IF('Input Responden'!H23&gt;=0,IF('Input Responden'!H23=0,1,'Input Responden'!H23),1/ABS('Input Responden'!H23))</f>
        <v>5</v>
      </c>
      <c r="G234" s="12">
        <f>AVERAGE(B234/B$237,C234/C$237,D234/D$237,E234/E$237)</f>
        <v>0.13950892857142858</v>
      </c>
      <c r="H234" s="11">
        <f>B234*$G$233+C234*$G$234+D234*$G$235+E234*$G$236</f>
        <v>0.59553571428571428</v>
      </c>
      <c r="I234" s="11">
        <f>H234/G234</f>
        <v>4.2687999999999997</v>
      </c>
    </row>
    <row r="235" spans="1:9" x14ac:dyDescent="0.3">
      <c r="A235" s="10" t="s">
        <v>60</v>
      </c>
      <c r="B235" s="11">
        <f>1/D233</f>
        <v>0.2</v>
      </c>
      <c r="C235" s="11">
        <f>1/D234</f>
        <v>5</v>
      </c>
      <c r="D235" s="11">
        <v>1</v>
      </c>
      <c r="E235" s="11">
        <f>IF('Input Responden'!I23&gt;=0,IF('Input Responden'!I23=0,1,'Input Responden'!I23),1/ABS('Input Responden'!I23))</f>
        <v>5</v>
      </c>
      <c r="G235" s="12">
        <f>AVERAGE(B235/B$237,C235/C$237,D235/D$237,E235/E$237)</f>
        <v>0.2600446428571429</v>
      </c>
      <c r="H235" s="11">
        <f>B235*$G$233+C235*$G$234+D235*$G$235+E235*$G$236</f>
        <v>1.361607142857143</v>
      </c>
      <c r="I235" s="11">
        <f>H235/G235</f>
        <v>5.236051502145922</v>
      </c>
    </row>
    <row r="236" spans="1:9" x14ac:dyDescent="0.3">
      <c r="A236" s="10" t="s">
        <v>61</v>
      </c>
      <c r="B236" s="11">
        <f>1/E233</f>
        <v>0.2</v>
      </c>
      <c r="C236" s="11">
        <f>1/E234</f>
        <v>0.2</v>
      </c>
      <c r="D236" s="11">
        <f>1/E235</f>
        <v>0.2</v>
      </c>
      <c r="E236" s="11">
        <v>1</v>
      </c>
      <c r="G236" s="12">
        <f>AVERAGE(B236/B$237,C236/C$237,D236/D$237,E236/E$237)</f>
        <v>5.9151785714285719E-2</v>
      </c>
      <c r="H236" s="11">
        <f>B236*$G$233+C236*$G$234+D236*$G$235+E236*$G$236</f>
        <v>0.24732142857142858</v>
      </c>
      <c r="I236" s="11">
        <f>H236/G236</f>
        <v>4.1811320754716981</v>
      </c>
    </row>
    <row r="237" spans="1:9" x14ac:dyDescent="0.3">
      <c r="A237" s="13" t="s">
        <v>65</v>
      </c>
      <c r="B237" s="11">
        <f>SUM(B233:B236)</f>
        <v>1.5999999999999999</v>
      </c>
      <c r="C237" s="11">
        <f>SUM(C233:C236)</f>
        <v>11.2</v>
      </c>
      <c r="D237" s="11">
        <f>SUM(D233:D236)</f>
        <v>6.4</v>
      </c>
      <c r="E237" s="11">
        <f>SUM(E233:E236)</f>
        <v>16</v>
      </c>
    </row>
    <row r="238" spans="1:9" x14ac:dyDescent="0.3">
      <c r="A238" s="1" t="s">
        <v>66</v>
      </c>
      <c r="G238" s="12">
        <f>AVERAGE(I233:I236)</f>
        <v>4.7307742449198695</v>
      </c>
    </row>
    <row r="239" spans="1:9" x14ac:dyDescent="0.3">
      <c r="A239" s="1" t="s">
        <v>67</v>
      </c>
      <c r="G239" s="12">
        <f>(G238-4)/(4-1)</f>
        <v>0.24359141497328984</v>
      </c>
    </row>
    <row r="240" spans="1:9" x14ac:dyDescent="0.3">
      <c r="A240" s="29" t="s">
        <v>68</v>
      </c>
      <c r="B240" s="29"/>
      <c r="C240" s="29"/>
      <c r="D240" s="29"/>
      <c r="G240" s="14">
        <f>G239/0.9</f>
        <v>0.2706571277480998</v>
      </c>
    </row>
    <row r="241" spans="1:9" ht="41.4" x14ac:dyDescent="0.3">
      <c r="A241" s="1" t="s">
        <v>69</v>
      </c>
      <c r="G241" s="15" t="str">
        <f>IF('Input Responden'!B23="","Belum diisi",IF(G240&lt;=0.1,"Konsisten - dipakai","Tidak Konsisten - dikecualikan"))</f>
        <v>Tidak Konsisten - dikecualikan</v>
      </c>
    </row>
    <row r="243" spans="1:9" x14ac:dyDescent="0.3">
      <c r="A243" s="9" t="s">
        <v>89</v>
      </c>
      <c r="B243" s="28" t="str">
        <f>'Input Responden'!B24</f>
        <v>Sulaeman</v>
      </c>
      <c r="C243" s="28"/>
      <c r="D243" s="28"/>
    </row>
    <row r="244" spans="1:9" x14ac:dyDescent="0.3">
      <c r="A244" s="10"/>
      <c r="B244" s="10" t="s">
        <v>58</v>
      </c>
      <c r="C244" s="10" t="s">
        <v>59</v>
      </c>
      <c r="D244" s="10" t="s">
        <v>60</v>
      </c>
      <c r="E244" s="10" t="s">
        <v>61</v>
      </c>
      <c r="F244" s="10"/>
      <c r="G244" s="10" t="s">
        <v>62</v>
      </c>
      <c r="H244" s="10" t="s">
        <v>63</v>
      </c>
      <c r="I244" s="10" t="s">
        <v>64</v>
      </c>
    </row>
    <row r="245" spans="1:9" x14ac:dyDescent="0.3">
      <c r="A245" s="10" t="s">
        <v>58</v>
      </c>
      <c r="B245" s="11">
        <v>1</v>
      </c>
      <c r="C245" s="11">
        <f>IF('Input Responden'!D24&gt;=0,IF('Input Responden'!D24=0,1,'Input Responden'!D24),1/ABS('Input Responden'!D24))</f>
        <v>0.25</v>
      </c>
      <c r="D245" s="11">
        <f>IF('Input Responden'!E24&gt;=0,IF('Input Responden'!E24=0,1,'Input Responden'!E24),1/ABS('Input Responden'!E24))</f>
        <v>0.25</v>
      </c>
      <c r="E245" s="11">
        <f>IF('Input Responden'!F24&gt;=0,IF('Input Responden'!F24=0,1,'Input Responden'!F24),1/ABS('Input Responden'!F24))</f>
        <v>0.25</v>
      </c>
      <c r="G245" s="12">
        <f>AVERAGE(B245/B$249,C245/C$249,D245/D$249,E245/E$249)</f>
        <v>7.3065448065448069E-2</v>
      </c>
      <c r="H245" s="11">
        <f>B245*$G$245+C245*$G$246+D245*$G$247+E245*$G$248</f>
        <v>0.30479908604908601</v>
      </c>
      <c r="I245" s="11">
        <f>H245/G245</f>
        <v>4.1715899117742152</v>
      </c>
    </row>
    <row r="246" spans="1:9" x14ac:dyDescent="0.3">
      <c r="A246" s="10" t="s">
        <v>59</v>
      </c>
      <c r="B246" s="11">
        <f>1/C245</f>
        <v>4</v>
      </c>
      <c r="C246" s="11">
        <v>1</v>
      </c>
      <c r="D246" s="11">
        <f>IF('Input Responden'!G24&gt;=0,IF('Input Responden'!G24=0,1,'Input Responden'!G24),1/ABS('Input Responden'!G24))</f>
        <v>0.25</v>
      </c>
      <c r="E246" s="11">
        <f>IF('Input Responden'!H24&gt;=0,IF('Input Responden'!H24=0,1,'Input Responden'!H24),1/ABS('Input Responden'!H24))</f>
        <v>0.25</v>
      </c>
      <c r="G246" s="12">
        <f>AVERAGE(B246/B$249,C246/C$249,D246/D$249,E246/E$249)</f>
        <v>0.15102802602802604</v>
      </c>
      <c r="H246" s="11">
        <f>B246*$G$245+C246*$G$246+D246*$G$247+E246*$G$248</f>
        <v>0.63726644976644975</v>
      </c>
      <c r="I246" s="11">
        <f>H246/G246</f>
        <v>4.2195244586471201</v>
      </c>
    </row>
    <row r="247" spans="1:9" x14ac:dyDescent="0.3">
      <c r="A247" s="10" t="s">
        <v>60</v>
      </c>
      <c r="B247" s="11">
        <f>1/D245</f>
        <v>4</v>
      </c>
      <c r="C247" s="11">
        <f>1/D246</f>
        <v>4</v>
      </c>
      <c r="D247" s="11">
        <v>1</v>
      </c>
      <c r="E247" s="11">
        <f>IF('Input Responden'!I24&gt;=0,IF('Input Responden'!I24=0,1,'Input Responden'!I24),1/ABS('Input Responden'!I24))</f>
        <v>0.25</v>
      </c>
      <c r="G247" s="12">
        <f>AVERAGE(B247/B$249,C247/C$249,D247/D$249,E247/E$249)</f>
        <v>0.26620001620001621</v>
      </c>
      <c r="H247" s="11">
        <f>B247*$G$245+C247*$G$246+D247*$G$247+E247*$G$248</f>
        <v>1.2900005400005399</v>
      </c>
      <c r="I247" s="11">
        <f>H247/G247</f>
        <v>4.845982199457362</v>
      </c>
    </row>
    <row r="248" spans="1:9" x14ac:dyDescent="0.3">
      <c r="A248" s="10" t="s">
        <v>61</v>
      </c>
      <c r="B248" s="11">
        <f>1/E245</f>
        <v>4</v>
      </c>
      <c r="C248" s="11">
        <f>1/E246</f>
        <v>4</v>
      </c>
      <c r="D248" s="11">
        <f>1/E247</f>
        <v>4</v>
      </c>
      <c r="E248" s="11">
        <v>1</v>
      </c>
      <c r="G248" s="12">
        <f>AVERAGE(B248/B$249,C248/C$249,D248/D$249,E248/E$249)</f>
        <v>0.50970650970650966</v>
      </c>
      <c r="H248" s="11">
        <f>B248*$G$245+C248*$G$246+D248*$G$247+E248*$G$248</f>
        <v>2.4708804708804708</v>
      </c>
      <c r="I248" s="11">
        <f>H248/G248</f>
        <v>4.8476533531094397</v>
      </c>
    </row>
    <row r="249" spans="1:9" x14ac:dyDescent="0.3">
      <c r="A249" s="13" t="s">
        <v>65</v>
      </c>
      <c r="B249" s="11">
        <f>SUM(B245:B248)</f>
        <v>13</v>
      </c>
      <c r="C249" s="11">
        <f>SUM(C245:C248)</f>
        <v>9.25</v>
      </c>
      <c r="D249" s="11">
        <f>SUM(D245:D248)</f>
        <v>5.5</v>
      </c>
      <c r="E249" s="11">
        <f>SUM(E245:E248)</f>
        <v>1.75</v>
      </c>
    </row>
    <row r="250" spans="1:9" x14ac:dyDescent="0.3">
      <c r="A250" s="1" t="s">
        <v>66</v>
      </c>
      <c r="G250" s="12">
        <f>AVERAGE(I245:I248)</f>
        <v>4.5211874807470345</v>
      </c>
    </row>
    <row r="251" spans="1:9" x14ac:dyDescent="0.3">
      <c r="A251" s="1" t="s">
        <v>67</v>
      </c>
      <c r="G251" s="12">
        <f>(G250-4)/(4-1)</f>
        <v>0.1737291602490115</v>
      </c>
    </row>
    <row r="252" spans="1:9" x14ac:dyDescent="0.3">
      <c r="A252" s="29" t="s">
        <v>68</v>
      </c>
      <c r="B252" s="29"/>
      <c r="C252" s="29"/>
      <c r="D252" s="29"/>
      <c r="G252" s="14">
        <f>G251/0.9</f>
        <v>0.19303240027667945</v>
      </c>
    </row>
    <row r="253" spans="1:9" ht="41.4" x14ac:dyDescent="0.3">
      <c r="A253" s="1" t="s">
        <v>69</v>
      </c>
      <c r="G253" s="15" t="str">
        <f>IF('Input Responden'!B24="","Belum diisi",IF(G252&lt;=0.1,"Konsisten - dipakai","Tidak Konsisten - dikecualikan"))</f>
        <v>Tidak Konsisten - dikecualikan</v>
      </c>
    </row>
    <row r="255" spans="1:9" x14ac:dyDescent="0.3">
      <c r="A255" s="9" t="s">
        <v>90</v>
      </c>
      <c r="B255" s="28" t="str">
        <f>'Input Responden'!B25</f>
        <v xml:space="preserve">Suharyadih </v>
      </c>
      <c r="C255" s="28"/>
      <c r="D255" s="28"/>
    </row>
    <row r="256" spans="1:9" x14ac:dyDescent="0.3">
      <c r="A256" s="10"/>
      <c r="B256" s="10" t="s">
        <v>58</v>
      </c>
      <c r="C256" s="10" t="s">
        <v>59</v>
      </c>
      <c r="D256" s="10" t="s">
        <v>60</v>
      </c>
      <c r="E256" s="10" t="s">
        <v>61</v>
      </c>
      <c r="F256" s="10"/>
      <c r="G256" s="10" t="s">
        <v>62</v>
      </c>
      <c r="H256" s="10" t="s">
        <v>63</v>
      </c>
      <c r="I256" s="10" t="s">
        <v>64</v>
      </c>
    </row>
    <row r="257" spans="1:9" x14ac:dyDescent="0.3">
      <c r="A257" s="10" t="s">
        <v>58</v>
      </c>
      <c r="B257" s="11">
        <v>1</v>
      </c>
      <c r="C257" s="11">
        <f>IF('Input Responden'!D25&gt;=0,IF('Input Responden'!D25=0,1,'Input Responden'!D25),1/ABS('Input Responden'!D25))</f>
        <v>5</v>
      </c>
      <c r="D257" s="11">
        <f>IF('Input Responden'!E25&gt;=0,IF('Input Responden'!E25=0,1,'Input Responden'!E25),1/ABS('Input Responden'!E25))</f>
        <v>5</v>
      </c>
      <c r="E257" s="11">
        <f>IF('Input Responden'!F25&gt;=0,IF('Input Responden'!F25=0,1,'Input Responden'!F25),1/ABS('Input Responden'!F25))</f>
        <v>5</v>
      </c>
      <c r="G257" s="12">
        <f>AVERAGE(B257/B$261,C257/C$261,D257/D$261,E257/E$261)</f>
        <v>0.54129464285714279</v>
      </c>
      <c r="H257" s="11">
        <f>B257*$G$257+C257*$G$258+D257*$G$259+E257*$G$260</f>
        <v>2.8348214285714288</v>
      </c>
      <c r="I257" s="11">
        <f>H257/G257</f>
        <v>5.2371134020618566</v>
      </c>
    </row>
    <row r="258" spans="1:9" x14ac:dyDescent="0.3">
      <c r="A258" s="10" t="s">
        <v>59</v>
      </c>
      <c r="B258" s="11">
        <f>1/C257</f>
        <v>0.2</v>
      </c>
      <c r="C258" s="11">
        <v>1</v>
      </c>
      <c r="D258" s="11">
        <f>IF('Input Responden'!G25&gt;=0,IF('Input Responden'!G25=0,1,'Input Responden'!G25),1/ABS('Input Responden'!G25))</f>
        <v>5</v>
      </c>
      <c r="E258" s="11">
        <f>IF('Input Responden'!H25&gt;=0,IF('Input Responden'!H25=0,1,'Input Responden'!H25),1/ABS('Input Responden'!H25))</f>
        <v>5</v>
      </c>
      <c r="G258" s="12">
        <f>AVERAGE(B258/B$261,C258/C$261,D258/D$261,E258/E$261)</f>
        <v>0.26004464285714285</v>
      </c>
      <c r="H258" s="11">
        <f>B258*$G$257+C258*$G$258+D258*$G$259+E258*$G$260</f>
        <v>1.361607142857143</v>
      </c>
      <c r="I258" s="11">
        <f>H258/G258</f>
        <v>5.2360515021459237</v>
      </c>
    </row>
    <row r="259" spans="1:9" x14ac:dyDescent="0.3">
      <c r="A259" s="10" t="s">
        <v>60</v>
      </c>
      <c r="B259" s="11">
        <f>1/D257</f>
        <v>0.2</v>
      </c>
      <c r="C259" s="11">
        <f>1/D258</f>
        <v>0.2</v>
      </c>
      <c r="D259" s="11">
        <v>1</v>
      </c>
      <c r="E259" s="11">
        <f>IF('Input Responden'!I25&gt;=0,IF('Input Responden'!I25=0,1,'Input Responden'!I25),1/ABS('Input Responden'!I25))</f>
        <v>5</v>
      </c>
      <c r="G259" s="12">
        <f>AVERAGE(B259/B$261,C259/C$261,D259/D$261,E259/E$261)</f>
        <v>0.13950892857142858</v>
      </c>
      <c r="H259" s="11">
        <f>B259*$G$257+C259*$G$258+D259*$G$259+E259*$G$260</f>
        <v>0.59553571428571428</v>
      </c>
      <c r="I259" s="11">
        <f>H259/G259</f>
        <v>4.2687999999999997</v>
      </c>
    </row>
    <row r="260" spans="1:9" x14ac:dyDescent="0.3">
      <c r="A260" s="10" t="s">
        <v>61</v>
      </c>
      <c r="B260" s="11">
        <f>1/E257</f>
        <v>0.2</v>
      </c>
      <c r="C260" s="11">
        <f>1/E258</f>
        <v>0.2</v>
      </c>
      <c r="D260" s="11">
        <f>1/E259</f>
        <v>0.2</v>
      </c>
      <c r="E260" s="11">
        <v>1</v>
      </c>
      <c r="G260" s="12">
        <f>AVERAGE(B260/B$261,C260/C$261,D260/D$261,E260/E$261)</f>
        <v>5.9151785714285719E-2</v>
      </c>
      <c r="H260" s="11">
        <f>B260*$G$257+C260*$G$258+D260*$G$259+E260*$G$260</f>
        <v>0.24732142857142858</v>
      </c>
      <c r="I260" s="11">
        <f>H260/G260</f>
        <v>4.1811320754716981</v>
      </c>
    </row>
    <row r="261" spans="1:9" x14ac:dyDescent="0.3">
      <c r="A261" s="13" t="s">
        <v>65</v>
      </c>
      <c r="B261" s="11">
        <f>SUM(B257:B260)</f>
        <v>1.5999999999999999</v>
      </c>
      <c r="C261" s="11">
        <f>SUM(C257:C260)</f>
        <v>6.4</v>
      </c>
      <c r="D261" s="11">
        <f>SUM(D257:D260)</f>
        <v>11.2</v>
      </c>
      <c r="E261" s="11">
        <f>SUM(E257:E260)</f>
        <v>16</v>
      </c>
    </row>
    <row r="262" spans="1:9" x14ac:dyDescent="0.3">
      <c r="A262" s="1" t="s">
        <v>66</v>
      </c>
      <c r="G262" s="12">
        <f>AVERAGE(I257:I260)</f>
        <v>4.7307742449198695</v>
      </c>
    </row>
    <row r="263" spans="1:9" x14ac:dyDescent="0.3">
      <c r="A263" s="1" t="s">
        <v>67</v>
      </c>
      <c r="G263" s="12">
        <f>(G262-4)/(4-1)</f>
        <v>0.24359141497328984</v>
      </c>
    </row>
    <row r="264" spans="1:9" x14ac:dyDescent="0.3">
      <c r="A264" s="29" t="s">
        <v>68</v>
      </c>
      <c r="B264" s="29"/>
      <c r="C264" s="29"/>
      <c r="D264" s="29"/>
      <c r="G264" s="14">
        <f>G263/0.9</f>
        <v>0.2706571277480998</v>
      </c>
    </row>
    <row r="265" spans="1:9" ht="41.4" x14ac:dyDescent="0.3">
      <c r="A265" s="1" t="s">
        <v>69</v>
      </c>
      <c r="G265" s="15" t="str">
        <f>IF('Input Responden'!B25="","Belum diisi",IF(G264&lt;=0.1,"Konsisten - dipakai","Tidak Konsisten - dikecualikan"))</f>
        <v>Tidak Konsisten - dikecualikan</v>
      </c>
    </row>
    <row r="267" spans="1:9" x14ac:dyDescent="0.3">
      <c r="A267" s="9" t="s">
        <v>91</v>
      </c>
      <c r="B267" s="28" t="str">
        <f>'Input Responden'!B26</f>
        <v xml:space="preserve">Iksan sanjaya </v>
      </c>
      <c r="C267" s="28"/>
      <c r="D267" s="28"/>
    </row>
    <row r="268" spans="1:9" x14ac:dyDescent="0.3">
      <c r="A268" s="10"/>
      <c r="B268" s="10" t="s">
        <v>58</v>
      </c>
      <c r="C268" s="10" t="s">
        <v>59</v>
      </c>
      <c r="D268" s="10" t="s">
        <v>60</v>
      </c>
      <c r="E268" s="10" t="s">
        <v>61</v>
      </c>
      <c r="F268" s="10"/>
      <c r="G268" s="10" t="s">
        <v>62</v>
      </c>
      <c r="H268" s="10" t="s">
        <v>63</v>
      </c>
      <c r="I268" s="10" t="s">
        <v>64</v>
      </c>
    </row>
    <row r="269" spans="1:9" x14ac:dyDescent="0.3">
      <c r="A269" s="10" t="s">
        <v>58</v>
      </c>
      <c r="B269" s="11">
        <v>1</v>
      </c>
      <c r="C269" s="11">
        <f>IF('Input Responden'!D26&gt;=0,IF('Input Responden'!D26=0,1,'Input Responden'!D26),1/ABS('Input Responden'!D26))</f>
        <v>5</v>
      </c>
      <c r="D269" s="11">
        <f>IF('Input Responden'!E26&gt;=0,IF('Input Responden'!E26=0,1,'Input Responden'!E26),1/ABS('Input Responden'!E26))</f>
        <v>5</v>
      </c>
      <c r="E269" s="11">
        <f>IF('Input Responden'!F26&gt;=0,IF('Input Responden'!F26=0,1,'Input Responden'!F26),1/ABS('Input Responden'!F26))</f>
        <v>5</v>
      </c>
      <c r="G269" s="12">
        <f>AVERAGE(B269/B$273,C269/C$273,D269/D$273,E269/E$273)</f>
        <v>0.54129464285714279</v>
      </c>
      <c r="H269" s="11">
        <f>B269*$G$269+C269*$G$270+D269*$G$271+E269*$G$272</f>
        <v>2.8348214285714288</v>
      </c>
      <c r="I269" s="11">
        <f>H269/G269</f>
        <v>5.2371134020618566</v>
      </c>
    </row>
    <row r="270" spans="1:9" x14ac:dyDescent="0.3">
      <c r="A270" s="10" t="s">
        <v>59</v>
      </c>
      <c r="B270" s="11">
        <f>1/C269</f>
        <v>0.2</v>
      </c>
      <c r="C270" s="11">
        <v>1</v>
      </c>
      <c r="D270" s="11">
        <f>IF('Input Responden'!G26&gt;=0,IF('Input Responden'!G26=0,1,'Input Responden'!G26),1/ABS('Input Responden'!G26))</f>
        <v>5</v>
      </c>
      <c r="E270" s="11">
        <f>IF('Input Responden'!H26&gt;=0,IF('Input Responden'!H26=0,1,'Input Responden'!H26),1/ABS('Input Responden'!H26))</f>
        <v>5</v>
      </c>
      <c r="G270" s="12">
        <f>AVERAGE(B270/B$273,C270/C$273,D270/D$273,E270/E$273)</f>
        <v>0.26004464285714285</v>
      </c>
      <c r="H270" s="11">
        <f>B270*$G$269+C270*$G$270+D270*$G$271+E270*$G$272</f>
        <v>1.361607142857143</v>
      </c>
      <c r="I270" s="11">
        <f>H270/G270</f>
        <v>5.2360515021459237</v>
      </c>
    </row>
    <row r="271" spans="1:9" x14ac:dyDescent="0.3">
      <c r="A271" s="10" t="s">
        <v>60</v>
      </c>
      <c r="B271" s="11">
        <f>1/D269</f>
        <v>0.2</v>
      </c>
      <c r="C271" s="11">
        <f>1/D270</f>
        <v>0.2</v>
      </c>
      <c r="D271" s="11">
        <v>1</v>
      </c>
      <c r="E271" s="11">
        <f>IF('Input Responden'!I26&gt;=0,IF('Input Responden'!I26=0,1,'Input Responden'!I26),1/ABS('Input Responden'!I26))</f>
        <v>5</v>
      </c>
      <c r="G271" s="12">
        <f>AVERAGE(B271/B$273,C271/C$273,D271/D$273,E271/E$273)</f>
        <v>0.13950892857142858</v>
      </c>
      <c r="H271" s="11">
        <f>B271*$G$269+C271*$G$270+D271*$G$271+E271*$G$272</f>
        <v>0.59553571428571428</v>
      </c>
      <c r="I271" s="11">
        <f>H271/G271</f>
        <v>4.2687999999999997</v>
      </c>
    </row>
    <row r="272" spans="1:9" x14ac:dyDescent="0.3">
      <c r="A272" s="10" t="s">
        <v>61</v>
      </c>
      <c r="B272" s="11">
        <f>1/E269</f>
        <v>0.2</v>
      </c>
      <c r="C272" s="11">
        <f>1/E270</f>
        <v>0.2</v>
      </c>
      <c r="D272" s="11">
        <f>1/E271</f>
        <v>0.2</v>
      </c>
      <c r="E272" s="11">
        <v>1</v>
      </c>
      <c r="G272" s="12">
        <f>AVERAGE(B272/B$273,C272/C$273,D272/D$273,E272/E$273)</f>
        <v>5.9151785714285719E-2</v>
      </c>
      <c r="H272" s="11">
        <f>B272*$G$269+C272*$G$270+D272*$G$271+E272*$G$272</f>
        <v>0.24732142857142858</v>
      </c>
      <c r="I272" s="11">
        <f>H272/G272</f>
        <v>4.1811320754716981</v>
      </c>
    </row>
    <row r="273" spans="1:9" x14ac:dyDescent="0.3">
      <c r="A273" s="13" t="s">
        <v>65</v>
      </c>
      <c r="B273" s="11">
        <f>SUM(B269:B272)</f>
        <v>1.5999999999999999</v>
      </c>
      <c r="C273" s="11">
        <f>SUM(C269:C272)</f>
        <v>6.4</v>
      </c>
      <c r="D273" s="11">
        <f>SUM(D269:D272)</f>
        <v>11.2</v>
      </c>
      <c r="E273" s="11">
        <f>SUM(E269:E272)</f>
        <v>16</v>
      </c>
    </row>
    <row r="274" spans="1:9" x14ac:dyDescent="0.3">
      <c r="A274" s="1" t="s">
        <v>66</v>
      </c>
      <c r="G274" s="12">
        <f>AVERAGE(I269:I272)</f>
        <v>4.7307742449198695</v>
      </c>
    </row>
    <row r="275" spans="1:9" x14ac:dyDescent="0.3">
      <c r="A275" s="1" t="s">
        <v>67</v>
      </c>
      <c r="G275" s="12">
        <f>(G274-4)/(4-1)</f>
        <v>0.24359141497328984</v>
      </c>
    </row>
    <row r="276" spans="1:9" x14ac:dyDescent="0.3">
      <c r="A276" s="29" t="s">
        <v>68</v>
      </c>
      <c r="B276" s="29"/>
      <c r="C276" s="29"/>
      <c r="D276" s="29"/>
      <c r="G276" s="14">
        <f>G275/0.9</f>
        <v>0.2706571277480998</v>
      </c>
    </row>
    <row r="277" spans="1:9" ht="41.4" x14ac:dyDescent="0.3">
      <c r="A277" s="1" t="s">
        <v>69</v>
      </c>
      <c r="G277" s="15" t="str">
        <f>IF('Input Responden'!B26="","Belum diisi",IF(G276&lt;=0.1,"Konsisten - dipakai","Tidak Konsisten - dikecualikan"))</f>
        <v>Tidak Konsisten - dikecualikan</v>
      </c>
    </row>
    <row r="279" spans="1:9" x14ac:dyDescent="0.3">
      <c r="A279" s="9" t="s">
        <v>92</v>
      </c>
      <c r="B279" s="28" t="str">
        <f>'Input Responden'!B27</f>
        <v>Tri Candra</v>
      </c>
      <c r="C279" s="28"/>
      <c r="D279" s="28"/>
    </row>
    <row r="280" spans="1:9" x14ac:dyDescent="0.3">
      <c r="A280" s="10"/>
      <c r="B280" s="10" t="s">
        <v>58</v>
      </c>
      <c r="C280" s="10" t="s">
        <v>59</v>
      </c>
      <c r="D280" s="10" t="s">
        <v>60</v>
      </c>
      <c r="E280" s="10" t="s">
        <v>61</v>
      </c>
      <c r="F280" s="10"/>
      <c r="G280" s="10" t="s">
        <v>62</v>
      </c>
      <c r="H280" s="10" t="s">
        <v>63</v>
      </c>
      <c r="I280" s="10" t="s">
        <v>64</v>
      </c>
    </row>
    <row r="281" spans="1:9" x14ac:dyDescent="0.3">
      <c r="A281" s="10" t="s">
        <v>58</v>
      </c>
      <c r="B281" s="11">
        <v>1</v>
      </c>
      <c r="C281" s="11">
        <f>IF('Input Responden'!D27&gt;=0,IF('Input Responden'!D27=0,1,'Input Responden'!D27),1/ABS('Input Responden'!D27))</f>
        <v>3</v>
      </c>
      <c r="D281" s="11">
        <f>IF('Input Responden'!E27&gt;=0,IF('Input Responden'!E27=0,1,'Input Responden'!E27),1/ABS('Input Responden'!E27))</f>
        <v>3</v>
      </c>
      <c r="E281" s="11">
        <f>IF('Input Responden'!F27&gt;=0,IF('Input Responden'!F27=0,1,'Input Responden'!F27),1/ABS('Input Responden'!F27))</f>
        <v>3</v>
      </c>
      <c r="G281" s="12">
        <f>AVERAGE(B281/B$285,C281/C$285,D281/D$285,E281/E$285)</f>
        <v>0.462987012987013</v>
      </c>
      <c r="H281" s="11">
        <f>B281*$G$281+C281*$G$282+D281*$G$283+E281*$G$284</f>
        <v>2.0740259740259743</v>
      </c>
      <c r="I281" s="11">
        <f>H281/G281</f>
        <v>4.4796633941093971</v>
      </c>
    </row>
    <row r="282" spans="1:9" x14ac:dyDescent="0.3">
      <c r="A282" s="10" t="s">
        <v>59</v>
      </c>
      <c r="B282" s="11">
        <f>1/C281</f>
        <v>0.33333333333333331</v>
      </c>
      <c r="C282" s="11">
        <v>1</v>
      </c>
      <c r="D282" s="11">
        <f>IF('Input Responden'!G27&gt;=0,IF('Input Responden'!G27=0,1,'Input Responden'!G27),1/ABS('Input Responden'!G27))</f>
        <v>3</v>
      </c>
      <c r="E282" s="11">
        <f>IF('Input Responden'!H27&gt;=0,IF('Input Responden'!H27=0,1,'Input Responden'!H27),1/ABS('Input Responden'!H27))</f>
        <v>3</v>
      </c>
      <c r="G282" s="12">
        <f>AVERAGE(B282/B$285,C282/C$285,D282/D$285,E282/E$285)</f>
        <v>0.27251082251082254</v>
      </c>
      <c r="H282" s="11">
        <f>B282*$G$281+C282*$G$282+D282*$G$283+E282*$G$284</f>
        <v>1.2203463203463203</v>
      </c>
      <c r="I282" s="11">
        <f>H282/G282</f>
        <v>4.4781572676727555</v>
      </c>
    </row>
    <row r="283" spans="1:9" x14ac:dyDescent="0.3">
      <c r="A283" s="10" t="s">
        <v>60</v>
      </c>
      <c r="B283" s="11">
        <f>1/D281</f>
        <v>0.33333333333333331</v>
      </c>
      <c r="C283" s="11">
        <f>1/D282</f>
        <v>0.33333333333333331</v>
      </c>
      <c r="D283" s="11">
        <v>1</v>
      </c>
      <c r="E283" s="11">
        <f>IF('Input Responden'!I27&gt;=0,IF('Input Responden'!I27=0,1,'Input Responden'!I27),1/ABS('Input Responden'!I27))</f>
        <v>3</v>
      </c>
      <c r="G283" s="12">
        <f>AVERAGE(B283/B$285,C283/C$285,D283/D$285,E283/E$285)</f>
        <v>0.16861471861471861</v>
      </c>
      <c r="H283" s="11">
        <f>B283*$G$281+C283*$G$282+D283*$G$283+E283*$G$284</f>
        <v>0.70144300144300153</v>
      </c>
      <c r="I283" s="11">
        <f>H283/G283</f>
        <v>4.1600342319212675</v>
      </c>
    </row>
    <row r="284" spans="1:9" x14ac:dyDescent="0.3">
      <c r="A284" s="10" t="s">
        <v>61</v>
      </c>
      <c r="B284" s="11">
        <f>1/E281</f>
        <v>0.33333333333333331</v>
      </c>
      <c r="C284" s="11">
        <f>1/E282</f>
        <v>0.33333333333333331</v>
      </c>
      <c r="D284" s="11">
        <f>1/E283</f>
        <v>0.33333333333333331</v>
      </c>
      <c r="E284" s="11">
        <v>1</v>
      </c>
      <c r="G284" s="12">
        <f>AVERAGE(B284/B$285,C284/C$285,D284/D$285,E284/E$285)</f>
        <v>9.588744588744591E-2</v>
      </c>
      <c r="H284" s="11">
        <f>B284*$G$281+C284*$G$282+D284*$G$283+E284*$G$284</f>
        <v>0.39725829725829725</v>
      </c>
      <c r="I284" s="11">
        <f>H284/G284</f>
        <v>4.1429646350639571</v>
      </c>
    </row>
    <row r="285" spans="1:9" x14ac:dyDescent="0.3">
      <c r="A285" s="13" t="s">
        <v>65</v>
      </c>
      <c r="B285" s="11">
        <f>SUM(B281:B284)</f>
        <v>1.9999999999999998</v>
      </c>
      <c r="C285" s="11">
        <f>SUM(C281:C284)</f>
        <v>4.6666666666666661</v>
      </c>
      <c r="D285" s="11">
        <f>SUM(D281:D284)</f>
        <v>7.333333333333333</v>
      </c>
      <c r="E285" s="11">
        <f>SUM(E281:E284)</f>
        <v>10</v>
      </c>
    </row>
    <row r="286" spans="1:9" x14ac:dyDescent="0.3">
      <c r="A286" s="1" t="s">
        <v>66</v>
      </c>
      <c r="G286" s="12">
        <f>AVERAGE(I281:I284)</f>
        <v>4.3152048821918445</v>
      </c>
    </row>
    <row r="287" spans="1:9" x14ac:dyDescent="0.3">
      <c r="A287" s="1" t="s">
        <v>67</v>
      </c>
      <c r="G287" s="12">
        <f>(G286-4)/(4-1)</f>
        <v>0.10506829406394817</v>
      </c>
    </row>
    <row r="288" spans="1:9" x14ac:dyDescent="0.3">
      <c r="A288" s="29" t="s">
        <v>68</v>
      </c>
      <c r="B288" s="29"/>
      <c r="C288" s="29"/>
      <c r="D288" s="29"/>
      <c r="G288" s="14">
        <f>G287/0.9</f>
        <v>0.1167425489599424</v>
      </c>
    </row>
    <row r="289" spans="1:9" ht="41.4" x14ac:dyDescent="0.3">
      <c r="A289" s="1" t="s">
        <v>69</v>
      </c>
      <c r="G289" s="15" t="str">
        <f>IF('Input Responden'!B27="","Belum diisi",IF(G288&lt;=0.1,"Konsisten - dipakai","Tidak Konsisten - dikecualikan"))</f>
        <v>Tidak Konsisten - dikecualikan</v>
      </c>
    </row>
    <row r="291" spans="1:9" x14ac:dyDescent="0.3">
      <c r="A291" s="9" t="s">
        <v>93</v>
      </c>
      <c r="B291" s="28" t="str">
        <f>'Input Responden'!B28</f>
        <v>Taufan IM</v>
      </c>
      <c r="C291" s="28"/>
      <c r="D291" s="28"/>
    </row>
    <row r="292" spans="1:9" x14ac:dyDescent="0.3">
      <c r="A292" s="10"/>
      <c r="B292" s="10" t="s">
        <v>58</v>
      </c>
      <c r="C292" s="10" t="s">
        <v>59</v>
      </c>
      <c r="D292" s="10" t="s">
        <v>60</v>
      </c>
      <c r="E292" s="10" t="s">
        <v>61</v>
      </c>
      <c r="F292" s="10"/>
      <c r="G292" s="10" t="s">
        <v>62</v>
      </c>
      <c r="H292" s="10" t="s">
        <v>63</v>
      </c>
      <c r="I292" s="10" t="s">
        <v>64</v>
      </c>
    </row>
    <row r="293" spans="1:9" x14ac:dyDescent="0.3">
      <c r="A293" s="10" t="s">
        <v>58</v>
      </c>
      <c r="B293" s="11">
        <v>1</v>
      </c>
      <c r="C293" s="11">
        <f>IF('Input Responden'!D28&gt;=0,IF('Input Responden'!D28=0,1,'Input Responden'!D28),1/ABS('Input Responden'!D28))</f>
        <v>1</v>
      </c>
      <c r="D293" s="11">
        <f>IF('Input Responden'!E28&gt;=0,IF('Input Responden'!E28=0,1,'Input Responden'!E28),1/ABS('Input Responden'!E28))</f>
        <v>1</v>
      </c>
      <c r="E293" s="11">
        <f>IF('Input Responden'!F28&gt;=0,IF('Input Responden'!F28=0,1,'Input Responden'!F28),1/ABS('Input Responden'!F28))</f>
        <v>1</v>
      </c>
      <c r="G293" s="12">
        <f>AVERAGE(B293/B$297,C293/C$297,D293/D$297,E293/E$297)</f>
        <v>0.25</v>
      </c>
      <c r="H293" s="11">
        <f>B293*$G$293+C293*$G$294+D293*$G$295+E293*$G$296</f>
        <v>1</v>
      </c>
      <c r="I293" s="11">
        <f>H293/G293</f>
        <v>4</v>
      </c>
    </row>
    <row r="294" spans="1:9" x14ac:dyDescent="0.3">
      <c r="A294" s="10" t="s">
        <v>59</v>
      </c>
      <c r="B294" s="11">
        <f>1/C293</f>
        <v>1</v>
      </c>
      <c r="C294" s="11">
        <v>1</v>
      </c>
      <c r="D294" s="11">
        <f>IF('Input Responden'!G28&gt;=0,IF('Input Responden'!G28=0,1,'Input Responden'!G28),1/ABS('Input Responden'!G28))</f>
        <v>1</v>
      </c>
      <c r="E294" s="11">
        <f>IF('Input Responden'!H28&gt;=0,IF('Input Responden'!H28=0,1,'Input Responden'!H28),1/ABS('Input Responden'!H28))</f>
        <v>1</v>
      </c>
      <c r="G294" s="12">
        <f>AVERAGE(B294/B$297,C294/C$297,D294/D$297,E294/E$297)</f>
        <v>0.25</v>
      </c>
      <c r="H294" s="11">
        <f>B294*$G$293+C294*$G$294+D294*$G$295+E294*$G$296</f>
        <v>1</v>
      </c>
      <c r="I294" s="11">
        <f>H294/G294</f>
        <v>4</v>
      </c>
    </row>
    <row r="295" spans="1:9" x14ac:dyDescent="0.3">
      <c r="A295" s="10" t="s">
        <v>60</v>
      </c>
      <c r="B295" s="11">
        <f>1/D293</f>
        <v>1</v>
      </c>
      <c r="C295" s="11">
        <f>1/D294</f>
        <v>1</v>
      </c>
      <c r="D295" s="11">
        <v>1</v>
      </c>
      <c r="E295" s="11">
        <f>IF('Input Responden'!I28&gt;=0,IF('Input Responden'!I28=0,1,'Input Responden'!I28),1/ABS('Input Responden'!I28))</f>
        <v>1</v>
      </c>
      <c r="G295" s="12">
        <f>AVERAGE(B295/B$297,C295/C$297,D295/D$297,E295/E$297)</f>
        <v>0.25</v>
      </c>
      <c r="H295" s="11">
        <f>B295*$G$293+C295*$G$294+D295*$G$295+E295*$G$296</f>
        <v>1</v>
      </c>
      <c r="I295" s="11">
        <f>H295/G295</f>
        <v>4</v>
      </c>
    </row>
    <row r="296" spans="1:9" x14ac:dyDescent="0.3">
      <c r="A296" s="10" t="s">
        <v>61</v>
      </c>
      <c r="B296" s="11">
        <f>1/E293</f>
        <v>1</v>
      </c>
      <c r="C296" s="11">
        <f>1/E294</f>
        <v>1</v>
      </c>
      <c r="D296" s="11">
        <f>1/E295</f>
        <v>1</v>
      </c>
      <c r="E296" s="11">
        <v>1</v>
      </c>
      <c r="G296" s="12">
        <f>AVERAGE(B296/B$297,C296/C$297,D296/D$297,E296/E$297)</f>
        <v>0.25</v>
      </c>
      <c r="H296" s="11">
        <f>B296*$G$293+C296*$G$294+D296*$G$295+E296*$G$296</f>
        <v>1</v>
      </c>
      <c r="I296" s="11">
        <f>H296/G296</f>
        <v>4</v>
      </c>
    </row>
    <row r="297" spans="1:9" x14ac:dyDescent="0.3">
      <c r="A297" s="13" t="s">
        <v>65</v>
      </c>
      <c r="B297" s="11">
        <f>SUM(B293:B296)</f>
        <v>4</v>
      </c>
      <c r="C297" s="11">
        <f>SUM(C293:C296)</f>
        <v>4</v>
      </c>
      <c r="D297" s="11">
        <f>SUM(D293:D296)</f>
        <v>4</v>
      </c>
      <c r="E297" s="11">
        <f>SUM(E293:E296)</f>
        <v>4</v>
      </c>
    </row>
    <row r="298" spans="1:9" x14ac:dyDescent="0.3">
      <c r="A298" s="1" t="s">
        <v>66</v>
      </c>
      <c r="G298" s="12">
        <f>AVERAGE(I293:I296)</f>
        <v>4</v>
      </c>
    </row>
    <row r="299" spans="1:9" x14ac:dyDescent="0.3">
      <c r="A299" s="1" t="s">
        <v>67</v>
      </c>
      <c r="G299" s="12">
        <f>(G298-4)/(4-1)</f>
        <v>0</v>
      </c>
    </row>
    <row r="300" spans="1:9" x14ac:dyDescent="0.3">
      <c r="A300" s="29" t="s">
        <v>68</v>
      </c>
      <c r="B300" s="29"/>
      <c r="C300" s="29"/>
      <c r="D300" s="29"/>
      <c r="G300" s="14">
        <f>G299/0.9</f>
        <v>0</v>
      </c>
    </row>
    <row r="301" spans="1:9" ht="27.6" x14ac:dyDescent="0.3">
      <c r="A301" s="1" t="s">
        <v>69</v>
      </c>
      <c r="G301" s="15" t="str">
        <f>IF('Input Responden'!B28="","Belum diisi",IF(G300&lt;=0.1,"Konsisten - dipakai","Tidak Konsisten - dikecualikan"))</f>
        <v>Konsisten - dipakai</v>
      </c>
    </row>
    <row r="303" spans="1:9" x14ac:dyDescent="0.3">
      <c r="A303" s="9" t="s">
        <v>94</v>
      </c>
      <c r="B303" s="28" t="str">
        <f>'Input Responden'!B29</f>
        <v>Nurdin</v>
      </c>
      <c r="C303" s="28"/>
      <c r="D303" s="28"/>
    </row>
    <row r="304" spans="1:9" x14ac:dyDescent="0.3">
      <c r="A304" s="10"/>
      <c r="B304" s="10" t="s">
        <v>58</v>
      </c>
      <c r="C304" s="10" t="s">
        <v>59</v>
      </c>
      <c r="D304" s="10" t="s">
        <v>60</v>
      </c>
      <c r="E304" s="10" t="s">
        <v>61</v>
      </c>
      <c r="F304" s="10"/>
      <c r="G304" s="10" t="s">
        <v>62</v>
      </c>
      <c r="H304" s="10" t="s">
        <v>63</v>
      </c>
      <c r="I304" s="10" t="s">
        <v>64</v>
      </c>
    </row>
    <row r="305" spans="1:9" x14ac:dyDescent="0.3">
      <c r="A305" s="10" t="s">
        <v>58</v>
      </c>
      <c r="B305" s="11">
        <v>1</v>
      </c>
      <c r="C305" s="11">
        <f>IF('Input Responden'!D29&gt;=0,IF('Input Responden'!D29=0,1,'Input Responden'!D29),1/ABS('Input Responden'!D29))</f>
        <v>4</v>
      </c>
      <c r="D305" s="11">
        <f>IF('Input Responden'!E29&gt;=0,IF('Input Responden'!E29=0,1,'Input Responden'!E29),1/ABS('Input Responden'!E29))</f>
        <v>0.25</v>
      </c>
      <c r="E305" s="11">
        <f>IF('Input Responden'!F29&gt;=0,IF('Input Responden'!F29=0,1,'Input Responden'!F29),1/ABS('Input Responden'!F29))</f>
        <v>0.25</v>
      </c>
      <c r="G305" s="12">
        <f>AVERAGE(B305/B$309,C305/C$309,D305/D$309,E305/E$309)</f>
        <v>0.17760617760617758</v>
      </c>
      <c r="H305" s="11">
        <f>B305*$G$305+C305*$G$306+D305*$G$307+E305*$G$308</f>
        <v>1.0492277992277992</v>
      </c>
      <c r="I305" s="11">
        <f>H305/G305</f>
        <v>5.9076086956521747</v>
      </c>
    </row>
    <row r="306" spans="1:9" x14ac:dyDescent="0.3">
      <c r="A306" s="10" t="s">
        <v>59</v>
      </c>
      <c r="B306" s="11">
        <f>1/C305</f>
        <v>0.25</v>
      </c>
      <c r="C306" s="11">
        <v>1</v>
      </c>
      <c r="D306" s="11">
        <f>IF('Input Responden'!G29&gt;=0,IF('Input Responden'!G29=0,1,'Input Responden'!G29),1/ABS('Input Responden'!G29))</f>
        <v>0.25</v>
      </c>
      <c r="E306" s="11">
        <f>IF('Input Responden'!H29&gt;=0,IF('Input Responden'!H29=0,1,'Input Responden'!H29),1/ABS('Input Responden'!H29))</f>
        <v>4</v>
      </c>
      <c r="G306" s="12">
        <f>AVERAGE(B306/B$309,C306/C$309,D306/D$309,E306/E$309)</f>
        <v>0.17760617760617761</v>
      </c>
      <c r="H306" s="11">
        <f>B306*$G$305+C306*$G$306+D306*$G$307+E306*$G$308</f>
        <v>1.0492277992277992</v>
      </c>
      <c r="I306" s="11">
        <f>H306/G306</f>
        <v>5.9076086956521738</v>
      </c>
    </row>
    <row r="307" spans="1:9" x14ac:dyDescent="0.3">
      <c r="A307" s="10" t="s">
        <v>60</v>
      </c>
      <c r="B307" s="11">
        <f>1/D305</f>
        <v>4</v>
      </c>
      <c r="C307" s="11">
        <f>1/D306</f>
        <v>4</v>
      </c>
      <c r="D307" s="11">
        <v>1</v>
      </c>
      <c r="E307" s="11">
        <f>IF('Input Responden'!I29&gt;=0,IF('Input Responden'!I29=0,1,'Input Responden'!I29),1/ABS('Input Responden'!I29))</f>
        <v>4</v>
      </c>
      <c r="G307" s="12">
        <f>AVERAGE(B307/B$309,C307/C$309,D307/D$309,E307/E$309)</f>
        <v>0.46718146718146719</v>
      </c>
      <c r="H307" s="11">
        <f>B307*$G$305+C307*$G$306+D307*$G$307+E307*$G$308</f>
        <v>2.5984555984555984</v>
      </c>
      <c r="I307" s="11">
        <f>H307/G307</f>
        <v>5.5619834710743801</v>
      </c>
    </row>
    <row r="308" spans="1:9" x14ac:dyDescent="0.3">
      <c r="A308" s="10" t="s">
        <v>61</v>
      </c>
      <c r="B308" s="11">
        <f>1/E305</f>
        <v>4</v>
      </c>
      <c r="C308" s="11">
        <f>1/E306</f>
        <v>0.25</v>
      </c>
      <c r="D308" s="11">
        <f>1/E307</f>
        <v>0.25</v>
      </c>
      <c r="E308" s="11">
        <v>1</v>
      </c>
      <c r="G308" s="12">
        <f>AVERAGE(B308/B$309,C308/C$309,D308/D$309,E308/E$309)</f>
        <v>0.17760617760617761</v>
      </c>
      <c r="H308" s="11">
        <f>B308*$G$305+C308*$G$306+D308*$G$307+E308*$G$308</f>
        <v>1.0492277992277992</v>
      </c>
      <c r="I308" s="11">
        <f>H308/G308</f>
        <v>5.9076086956521738</v>
      </c>
    </row>
    <row r="309" spans="1:9" x14ac:dyDescent="0.3">
      <c r="A309" s="13" t="s">
        <v>65</v>
      </c>
      <c r="B309" s="11">
        <f>SUM(B305:B308)</f>
        <v>9.25</v>
      </c>
      <c r="C309" s="11">
        <f>SUM(C305:C308)</f>
        <v>9.25</v>
      </c>
      <c r="D309" s="11">
        <f>SUM(D305:D308)</f>
        <v>1.75</v>
      </c>
      <c r="E309" s="11">
        <f>SUM(E305:E308)</f>
        <v>9.25</v>
      </c>
    </row>
    <row r="310" spans="1:9" x14ac:dyDescent="0.3">
      <c r="A310" s="1" t="s">
        <v>66</v>
      </c>
      <c r="G310" s="12">
        <f>AVERAGE(I305:I308)</f>
        <v>5.8212023895077252</v>
      </c>
    </row>
    <row r="311" spans="1:9" x14ac:dyDescent="0.3">
      <c r="A311" s="1" t="s">
        <v>67</v>
      </c>
      <c r="G311" s="12">
        <f>(G310-4)/(4-1)</f>
        <v>0.60706746316924176</v>
      </c>
    </row>
    <row r="312" spans="1:9" x14ac:dyDescent="0.3">
      <c r="A312" s="29" t="s">
        <v>68</v>
      </c>
      <c r="B312" s="29"/>
      <c r="C312" s="29"/>
      <c r="D312" s="29"/>
      <c r="G312" s="14">
        <f>G311/0.9</f>
        <v>0.67451940352137973</v>
      </c>
    </row>
    <row r="313" spans="1:9" ht="41.4" x14ac:dyDescent="0.3">
      <c r="A313" s="1" t="s">
        <v>69</v>
      </c>
      <c r="G313" s="15" t="str">
        <f>IF('Input Responden'!B29="","Belum diisi",IF(G312&lt;=0.1,"Konsisten - dipakai","Tidak Konsisten - dikecualikan"))</f>
        <v>Tidak Konsisten - dikecualikan</v>
      </c>
    </row>
    <row r="315" spans="1:9" x14ac:dyDescent="0.3">
      <c r="A315" s="9" t="s">
        <v>95</v>
      </c>
      <c r="B315" s="28" t="str">
        <f>'Input Responden'!B30</f>
        <v>Agus Setia</v>
      </c>
      <c r="C315" s="28"/>
      <c r="D315" s="28"/>
    </row>
    <row r="316" spans="1:9" x14ac:dyDescent="0.3">
      <c r="A316" s="10"/>
      <c r="B316" s="10" t="s">
        <v>58</v>
      </c>
      <c r="C316" s="10" t="s">
        <v>59</v>
      </c>
      <c r="D316" s="10" t="s">
        <v>60</v>
      </c>
      <c r="E316" s="10" t="s">
        <v>61</v>
      </c>
      <c r="F316" s="10"/>
      <c r="G316" s="10" t="s">
        <v>62</v>
      </c>
      <c r="H316" s="10" t="s">
        <v>63</v>
      </c>
      <c r="I316" s="10" t="s">
        <v>64</v>
      </c>
    </row>
    <row r="317" spans="1:9" x14ac:dyDescent="0.3">
      <c r="A317" s="10" t="s">
        <v>58</v>
      </c>
      <c r="B317" s="11">
        <v>1</v>
      </c>
      <c r="C317" s="11">
        <f>IF('Input Responden'!D30&gt;=0,IF('Input Responden'!D30=0,1,'Input Responden'!D30),1/ABS('Input Responden'!D30))</f>
        <v>4</v>
      </c>
      <c r="D317" s="11">
        <f>IF('Input Responden'!E30&gt;=0,IF('Input Responden'!E30=0,1,'Input Responden'!E30),1/ABS('Input Responden'!E30))</f>
        <v>4</v>
      </c>
      <c r="E317" s="11">
        <f>IF('Input Responden'!F30&gt;=0,IF('Input Responden'!F30=0,1,'Input Responden'!F30),1/ABS('Input Responden'!F30))</f>
        <v>0.25</v>
      </c>
      <c r="G317" s="12">
        <f>AVERAGE(B317/B$321,C317/C$321,D317/D$321,E317/E$321)</f>
        <v>0.31914735591206178</v>
      </c>
      <c r="H317" s="11">
        <f>B317*$G$317+C317*$G$318+D317*$G$319+E317*$G$320</f>
        <v>1.78475935828877</v>
      </c>
      <c r="I317" s="11">
        <f>H317/G317</f>
        <v>5.5922736793111474</v>
      </c>
    </row>
    <row r="318" spans="1:9" x14ac:dyDescent="0.3">
      <c r="A318" s="10" t="s">
        <v>59</v>
      </c>
      <c r="B318" s="11">
        <f>1/C317</f>
        <v>0.25</v>
      </c>
      <c r="C318" s="11">
        <v>1</v>
      </c>
      <c r="D318" s="11">
        <f>IF('Input Responden'!G30&gt;=0,IF('Input Responden'!G30=0,1,'Input Responden'!G30),1/ABS('Input Responden'!G30))</f>
        <v>3</v>
      </c>
      <c r="E318" s="11">
        <f>IF('Input Responden'!H30&gt;=0,IF('Input Responden'!H30=0,1,'Input Responden'!H30),1/ABS('Input Responden'!H30))</f>
        <v>3</v>
      </c>
      <c r="G318" s="12">
        <f>AVERAGE(B318/B$321,C318/C$321,D318/D$321,E318/E$321)</f>
        <v>0.28464795008912658</v>
      </c>
      <c r="H318" s="11">
        <f>B318*$G$317+C318*$G$318+D318*$G$319+E318*$G$320</f>
        <v>1.5530488710635768</v>
      </c>
      <c r="I318" s="11">
        <f>H318/G318</f>
        <v>5.4560339204174815</v>
      </c>
    </row>
    <row r="319" spans="1:9" x14ac:dyDescent="0.3">
      <c r="A319" s="10" t="s">
        <v>60</v>
      </c>
      <c r="B319" s="11">
        <f>1/D317</f>
        <v>0.25</v>
      </c>
      <c r="C319" s="11">
        <f>1/D318</f>
        <v>0.33333333333333331</v>
      </c>
      <c r="D319" s="11">
        <v>1</v>
      </c>
      <c r="E319" s="11">
        <f>IF('Input Responden'!I30&gt;=0,IF('Input Responden'!I30=0,1,'Input Responden'!I30),1/ABS('Input Responden'!I30))</f>
        <v>0.25</v>
      </c>
      <c r="G319" s="12">
        <f>AVERAGE(B319/B$321,C319/C$321,D319/D$321,E319/E$321)</f>
        <v>6.0791740938799764E-2</v>
      </c>
      <c r="H319" s="11">
        <f>B319*$G$317+C319*$G$318+D319*$G$319+E319*$G$320</f>
        <v>0.31931446821152704</v>
      </c>
      <c r="I319" s="11">
        <f>H319/G319</f>
        <v>5.2525962125839953</v>
      </c>
    </row>
    <row r="320" spans="1:9" x14ac:dyDescent="0.3">
      <c r="A320" s="10" t="s">
        <v>61</v>
      </c>
      <c r="B320" s="11">
        <f>1/E317</f>
        <v>4</v>
      </c>
      <c r="C320" s="11">
        <f>1/E318</f>
        <v>0.33333333333333331</v>
      </c>
      <c r="D320" s="11">
        <f>1/E319</f>
        <v>4</v>
      </c>
      <c r="E320" s="11">
        <v>1</v>
      </c>
      <c r="G320" s="12">
        <f>AVERAGE(B320/B$321,C320/C$321,D320/D$321,E320/E$321)</f>
        <v>0.33541295306001184</v>
      </c>
      <c r="H320" s="11">
        <f>B320*$G$317+C320*$G$318+D320*$G$319+E320*$G$320</f>
        <v>1.9500519904931668</v>
      </c>
      <c r="I320" s="11">
        <f>H320/G320</f>
        <v>5.8138839681133749</v>
      </c>
    </row>
    <row r="321" spans="1:9" x14ac:dyDescent="0.3">
      <c r="A321" s="13" t="s">
        <v>65</v>
      </c>
      <c r="B321" s="11">
        <f>SUM(B317:B320)</f>
        <v>5.5</v>
      </c>
      <c r="C321" s="11">
        <f>SUM(C317:C320)</f>
        <v>5.6666666666666661</v>
      </c>
      <c r="D321" s="11">
        <f>SUM(D317:D320)</f>
        <v>12</v>
      </c>
      <c r="E321" s="11">
        <f>SUM(E317:E320)</f>
        <v>4.5</v>
      </c>
    </row>
    <row r="322" spans="1:9" x14ac:dyDescent="0.3">
      <c r="A322" s="1" t="s">
        <v>66</v>
      </c>
      <c r="G322" s="12">
        <f>AVERAGE(I317:I320)</f>
        <v>5.5286969451064998</v>
      </c>
    </row>
    <row r="323" spans="1:9" x14ac:dyDescent="0.3">
      <c r="A323" s="1" t="s">
        <v>67</v>
      </c>
      <c r="G323" s="12">
        <f>(G322-4)/(4-1)</f>
        <v>0.50956564836883322</v>
      </c>
    </row>
    <row r="324" spans="1:9" x14ac:dyDescent="0.3">
      <c r="A324" s="29" t="s">
        <v>68</v>
      </c>
      <c r="B324" s="29"/>
      <c r="C324" s="29"/>
      <c r="D324" s="29"/>
      <c r="G324" s="14">
        <f>G323/0.9</f>
        <v>0.56618405374314806</v>
      </c>
    </row>
    <row r="325" spans="1:9" ht="41.4" x14ac:dyDescent="0.3">
      <c r="A325" s="1" t="s">
        <v>69</v>
      </c>
      <c r="G325" s="15" t="str">
        <f>IF('Input Responden'!B30="","Belum diisi",IF(G324&lt;=0.1,"Konsisten - dipakai","Tidak Konsisten - dikecualikan"))</f>
        <v>Tidak Konsisten - dikecualikan</v>
      </c>
    </row>
    <row r="327" spans="1:9" x14ac:dyDescent="0.3">
      <c r="A327" s="9" t="s">
        <v>96</v>
      </c>
      <c r="B327" s="28" t="str">
        <f>'Input Responden'!B31</f>
        <v xml:space="preserve">Iskandar Y Taroka </v>
      </c>
      <c r="C327" s="28"/>
      <c r="D327" s="28"/>
    </row>
    <row r="328" spans="1:9" x14ac:dyDescent="0.3">
      <c r="A328" s="10"/>
      <c r="B328" s="10" t="s">
        <v>58</v>
      </c>
      <c r="C328" s="10" t="s">
        <v>59</v>
      </c>
      <c r="D328" s="10" t="s">
        <v>60</v>
      </c>
      <c r="E328" s="10" t="s">
        <v>61</v>
      </c>
      <c r="F328" s="10"/>
      <c r="G328" s="10" t="s">
        <v>62</v>
      </c>
      <c r="H328" s="10" t="s">
        <v>63</v>
      </c>
      <c r="I328" s="10" t="s">
        <v>64</v>
      </c>
    </row>
    <row r="329" spans="1:9" x14ac:dyDescent="0.3">
      <c r="A329" s="10" t="s">
        <v>58</v>
      </c>
      <c r="B329" s="11">
        <v>1</v>
      </c>
      <c r="C329" s="11">
        <f>IF('Input Responden'!D31&gt;=0,IF('Input Responden'!D31=0,1,'Input Responden'!D31),1/ABS('Input Responden'!D31))</f>
        <v>1</v>
      </c>
      <c r="D329" s="11">
        <f>IF('Input Responden'!E31&gt;=0,IF('Input Responden'!E31=0,1,'Input Responden'!E31),1/ABS('Input Responden'!E31))</f>
        <v>1</v>
      </c>
      <c r="E329" s="11">
        <f>IF('Input Responden'!F31&gt;=0,IF('Input Responden'!F31=0,1,'Input Responden'!F31),1/ABS('Input Responden'!F31))</f>
        <v>1</v>
      </c>
      <c r="G329" s="12">
        <f>AVERAGE(B329/B$333,C329/C$333,D329/D$333,E329/E$333)</f>
        <v>0.25</v>
      </c>
      <c r="H329" s="11">
        <f>B329*$G$329+C329*$G$330+D329*$G$331+E329*$G$332</f>
        <v>1</v>
      </c>
      <c r="I329" s="11">
        <f>H329/G329</f>
        <v>4</v>
      </c>
    </row>
    <row r="330" spans="1:9" x14ac:dyDescent="0.3">
      <c r="A330" s="10" t="s">
        <v>59</v>
      </c>
      <c r="B330" s="11">
        <f>1/C329</f>
        <v>1</v>
      </c>
      <c r="C330" s="11">
        <v>1</v>
      </c>
      <c r="D330" s="11">
        <f>IF('Input Responden'!G31&gt;=0,IF('Input Responden'!G31=0,1,'Input Responden'!G31),1/ABS('Input Responden'!G31))</f>
        <v>1</v>
      </c>
      <c r="E330" s="11">
        <f>IF('Input Responden'!H31&gt;=0,IF('Input Responden'!H31=0,1,'Input Responden'!H31),1/ABS('Input Responden'!H31))</f>
        <v>1</v>
      </c>
      <c r="G330" s="12">
        <f>AVERAGE(B330/B$333,C330/C$333,D330/D$333,E330/E$333)</f>
        <v>0.25</v>
      </c>
      <c r="H330" s="11">
        <f>B330*$G$329+C330*$G$330+D330*$G$331+E330*$G$332</f>
        <v>1</v>
      </c>
      <c r="I330" s="11">
        <f>H330/G330</f>
        <v>4</v>
      </c>
    </row>
    <row r="331" spans="1:9" x14ac:dyDescent="0.3">
      <c r="A331" s="10" t="s">
        <v>60</v>
      </c>
      <c r="B331" s="11">
        <f>1/D329</f>
        <v>1</v>
      </c>
      <c r="C331" s="11">
        <f>1/D330</f>
        <v>1</v>
      </c>
      <c r="D331" s="11">
        <v>1</v>
      </c>
      <c r="E331" s="11">
        <f>IF('Input Responden'!I31&gt;=0,IF('Input Responden'!I31=0,1,'Input Responden'!I31),1/ABS('Input Responden'!I31))</f>
        <v>1</v>
      </c>
      <c r="G331" s="12">
        <f>AVERAGE(B331/B$333,C331/C$333,D331/D$333,E331/E$333)</f>
        <v>0.25</v>
      </c>
      <c r="H331" s="11">
        <f>B331*$G$329+C331*$G$330+D331*$G$331+E331*$G$332</f>
        <v>1</v>
      </c>
      <c r="I331" s="11">
        <f>H331/G331</f>
        <v>4</v>
      </c>
    </row>
    <row r="332" spans="1:9" x14ac:dyDescent="0.3">
      <c r="A332" s="10" t="s">
        <v>61</v>
      </c>
      <c r="B332" s="11">
        <f>1/E329</f>
        <v>1</v>
      </c>
      <c r="C332" s="11">
        <f>1/E330</f>
        <v>1</v>
      </c>
      <c r="D332" s="11">
        <f>1/E331</f>
        <v>1</v>
      </c>
      <c r="E332" s="11">
        <v>1</v>
      </c>
      <c r="G332" s="12">
        <f>AVERAGE(B332/B$333,C332/C$333,D332/D$333,E332/E$333)</f>
        <v>0.25</v>
      </c>
      <c r="H332" s="11">
        <f>B332*$G$329+C332*$G$330+D332*$G$331+E332*$G$332</f>
        <v>1</v>
      </c>
      <c r="I332" s="11">
        <f>H332/G332</f>
        <v>4</v>
      </c>
    </row>
    <row r="333" spans="1:9" x14ac:dyDescent="0.3">
      <c r="A333" s="13" t="s">
        <v>65</v>
      </c>
      <c r="B333" s="11">
        <f>SUM(B329:B332)</f>
        <v>4</v>
      </c>
      <c r="C333" s="11">
        <f>SUM(C329:C332)</f>
        <v>4</v>
      </c>
      <c r="D333" s="11">
        <f>SUM(D329:D332)</f>
        <v>4</v>
      </c>
      <c r="E333" s="11">
        <f>SUM(E329:E332)</f>
        <v>4</v>
      </c>
    </row>
    <row r="334" spans="1:9" x14ac:dyDescent="0.3">
      <c r="A334" s="1" t="s">
        <v>66</v>
      </c>
      <c r="G334" s="12">
        <f>AVERAGE(I329:I332)</f>
        <v>4</v>
      </c>
    </row>
    <row r="335" spans="1:9" x14ac:dyDescent="0.3">
      <c r="A335" s="1" t="s">
        <v>67</v>
      </c>
      <c r="G335" s="12">
        <f>(G334-4)/(4-1)</f>
        <v>0</v>
      </c>
    </row>
    <row r="336" spans="1:9" x14ac:dyDescent="0.3">
      <c r="A336" s="29" t="s">
        <v>68</v>
      </c>
      <c r="B336" s="29"/>
      <c r="C336" s="29"/>
      <c r="D336" s="29"/>
      <c r="G336" s="14">
        <f>G335/0.9</f>
        <v>0</v>
      </c>
    </row>
    <row r="337" spans="1:9" ht="27.6" x14ac:dyDescent="0.3">
      <c r="A337" s="1" t="s">
        <v>69</v>
      </c>
      <c r="G337" s="15" t="str">
        <f>IF('Input Responden'!B31="","Belum diisi",IF(G336&lt;=0.1,"Konsisten - dipakai","Tidak Konsisten - dikecualikan"))</f>
        <v>Konsisten - dipakai</v>
      </c>
    </row>
    <row r="339" spans="1:9" x14ac:dyDescent="0.3">
      <c r="A339" s="9" t="s">
        <v>97</v>
      </c>
      <c r="B339" s="28" t="str">
        <f>'Input Responden'!B32</f>
        <v>Firdaus Dwi Marta Al Mansur</v>
      </c>
      <c r="C339" s="28"/>
      <c r="D339" s="28"/>
    </row>
    <row r="340" spans="1:9" x14ac:dyDescent="0.3">
      <c r="A340" s="10"/>
      <c r="B340" s="10" t="s">
        <v>58</v>
      </c>
      <c r="C340" s="10" t="s">
        <v>59</v>
      </c>
      <c r="D340" s="10" t="s">
        <v>60</v>
      </c>
      <c r="E340" s="10" t="s">
        <v>61</v>
      </c>
      <c r="F340" s="10"/>
      <c r="G340" s="10" t="s">
        <v>62</v>
      </c>
      <c r="H340" s="10" t="s">
        <v>63</v>
      </c>
      <c r="I340" s="10" t="s">
        <v>64</v>
      </c>
    </row>
    <row r="341" spans="1:9" x14ac:dyDescent="0.3">
      <c r="A341" s="10" t="s">
        <v>58</v>
      </c>
      <c r="B341" s="11">
        <v>1</v>
      </c>
      <c r="C341" s="11">
        <f>IF('Input Responden'!D32&gt;=0,IF('Input Responden'!D32=0,1,'Input Responden'!D32),1/ABS('Input Responden'!D32))</f>
        <v>0.25</v>
      </c>
      <c r="D341" s="11">
        <f>IF('Input Responden'!E32&gt;=0,IF('Input Responden'!E32=0,1,'Input Responden'!E32),1/ABS('Input Responden'!E32))</f>
        <v>4</v>
      </c>
      <c r="E341" s="11">
        <f>IF('Input Responden'!F32&gt;=0,IF('Input Responden'!F32=0,1,'Input Responden'!F32),1/ABS('Input Responden'!F32))</f>
        <v>4</v>
      </c>
      <c r="G341" s="12">
        <f>AVERAGE(B341/B$345,C341/C$345,D341/D$345,E341/E$345)</f>
        <v>0.26620001620001621</v>
      </c>
      <c r="H341" s="11">
        <f>B341*$G$341+C341*$G$342+D341*$G$343+E341*$G$344</f>
        <v>1.2900005400005401</v>
      </c>
      <c r="I341" s="11">
        <f>H341/G341</f>
        <v>4.8459821994573629</v>
      </c>
    </row>
    <row r="342" spans="1:9" x14ac:dyDescent="0.3">
      <c r="A342" s="10" t="s">
        <v>59</v>
      </c>
      <c r="B342" s="11">
        <f>1/C341</f>
        <v>4</v>
      </c>
      <c r="C342" s="11">
        <v>1</v>
      </c>
      <c r="D342" s="11">
        <f>IF('Input Responden'!G32&gt;=0,IF('Input Responden'!G32=0,1,'Input Responden'!G32),1/ABS('Input Responden'!G32))</f>
        <v>4</v>
      </c>
      <c r="E342" s="11">
        <f>IF('Input Responden'!H32&gt;=0,IF('Input Responden'!H32=0,1,'Input Responden'!H32),1/ABS('Input Responden'!H32))</f>
        <v>4</v>
      </c>
      <c r="G342" s="12">
        <f>AVERAGE(B342/B$345,C342/C$345,D342/D$345,E342/E$345)</f>
        <v>0.50970650970650966</v>
      </c>
      <c r="H342" s="11">
        <f>B342*$G$341+C342*$G$342+D342*$G$343+E342*$G$344</f>
        <v>2.4708804708804708</v>
      </c>
      <c r="I342" s="11">
        <f>H342/G342</f>
        <v>4.8476533531094397</v>
      </c>
    </row>
    <row r="343" spans="1:9" x14ac:dyDescent="0.3">
      <c r="A343" s="10" t="s">
        <v>60</v>
      </c>
      <c r="B343" s="11">
        <f>1/D341</f>
        <v>0.25</v>
      </c>
      <c r="C343" s="11">
        <f>1/D342</f>
        <v>0.25</v>
      </c>
      <c r="D343" s="11">
        <v>1</v>
      </c>
      <c r="E343" s="11">
        <f>IF('Input Responden'!I32&gt;=0,IF('Input Responden'!I32=0,1,'Input Responden'!I32),1/ABS('Input Responden'!I32))</f>
        <v>4</v>
      </c>
      <c r="G343" s="12">
        <f>AVERAGE(B343/B$345,C343/C$345,D343/D$345,E343/E$345)</f>
        <v>0.15102802602802604</v>
      </c>
      <c r="H343" s="11">
        <f>B343*$G$341+C343*$G$342+D343*$G$343+E343*$G$344</f>
        <v>0.63726644976644975</v>
      </c>
      <c r="I343" s="11">
        <f>H343/G343</f>
        <v>4.2195244586471201</v>
      </c>
    </row>
    <row r="344" spans="1:9" x14ac:dyDescent="0.3">
      <c r="A344" s="10" t="s">
        <v>61</v>
      </c>
      <c r="B344" s="11">
        <f>1/E341</f>
        <v>0.25</v>
      </c>
      <c r="C344" s="11">
        <f>1/E342</f>
        <v>0.25</v>
      </c>
      <c r="D344" s="11">
        <f>1/E343</f>
        <v>0.25</v>
      </c>
      <c r="E344" s="11">
        <v>1</v>
      </c>
      <c r="G344" s="12">
        <f>AVERAGE(B344/B$345,C344/C$345,D344/D$345,E344/E$345)</f>
        <v>7.3065448065448069E-2</v>
      </c>
      <c r="H344" s="11">
        <f>B344*$G$341+C344*$G$342+D344*$G$343+E344*$G$344</f>
        <v>0.30479908604908601</v>
      </c>
      <c r="I344" s="11">
        <f>H344/G344</f>
        <v>4.1715899117742152</v>
      </c>
    </row>
    <row r="345" spans="1:9" x14ac:dyDescent="0.3">
      <c r="A345" s="13" t="s">
        <v>65</v>
      </c>
      <c r="B345" s="11">
        <f>SUM(B341:B344)</f>
        <v>5.5</v>
      </c>
      <c r="C345" s="11">
        <f>SUM(C341:C344)</f>
        <v>1.75</v>
      </c>
      <c r="D345" s="11">
        <f>SUM(D341:D344)</f>
        <v>9.25</v>
      </c>
      <c r="E345" s="11">
        <f>SUM(E341:E344)</f>
        <v>13</v>
      </c>
    </row>
    <row r="346" spans="1:9" x14ac:dyDescent="0.3">
      <c r="A346" s="1" t="s">
        <v>66</v>
      </c>
      <c r="G346" s="12">
        <f>AVERAGE(I341:I344)</f>
        <v>4.5211874807470345</v>
      </c>
    </row>
    <row r="347" spans="1:9" x14ac:dyDescent="0.3">
      <c r="A347" s="1" t="s">
        <v>67</v>
      </c>
      <c r="G347" s="12">
        <f>(G346-4)/(4-1)</f>
        <v>0.1737291602490115</v>
      </c>
    </row>
    <row r="348" spans="1:9" x14ac:dyDescent="0.3">
      <c r="A348" s="29" t="s">
        <v>68</v>
      </c>
      <c r="B348" s="29"/>
      <c r="C348" s="29"/>
      <c r="D348" s="29"/>
      <c r="G348" s="14">
        <f>G347/0.9</f>
        <v>0.19303240027667945</v>
      </c>
    </row>
    <row r="349" spans="1:9" ht="41.4" x14ac:dyDescent="0.3">
      <c r="A349" s="1" t="s">
        <v>69</v>
      </c>
      <c r="G349" s="15" t="str">
        <f>IF('Input Responden'!B32="","Belum diisi",IF(G348&lt;=0.1,"Konsisten - dipakai","Tidak Konsisten - dikecualikan"))</f>
        <v>Tidak Konsisten - dikecualikan</v>
      </c>
    </row>
    <row r="351" spans="1:9" x14ac:dyDescent="0.3">
      <c r="A351" s="9" t="s">
        <v>98</v>
      </c>
      <c r="B351" s="28" t="str">
        <f>'Input Responden'!B33</f>
        <v>KADEK GHUSTY RAMAYANA, A.Md.Tra</v>
      </c>
      <c r="C351" s="28"/>
      <c r="D351" s="28"/>
    </row>
    <row r="352" spans="1:9" x14ac:dyDescent="0.3">
      <c r="A352" s="10"/>
      <c r="B352" s="10" t="s">
        <v>58</v>
      </c>
      <c r="C352" s="10" t="s">
        <v>59</v>
      </c>
      <c r="D352" s="10" t="s">
        <v>60</v>
      </c>
      <c r="E352" s="10" t="s">
        <v>61</v>
      </c>
      <c r="F352" s="10"/>
      <c r="G352" s="10" t="s">
        <v>62</v>
      </c>
      <c r="H352" s="10" t="s">
        <v>63</v>
      </c>
      <c r="I352" s="10" t="s">
        <v>64</v>
      </c>
    </row>
    <row r="353" spans="1:9" x14ac:dyDescent="0.3">
      <c r="A353" s="10" t="s">
        <v>58</v>
      </c>
      <c r="B353" s="11">
        <v>1</v>
      </c>
      <c r="C353" s="11">
        <f>IF('Input Responden'!D33&gt;=0,IF('Input Responden'!D33=0,1,'Input Responden'!D33),1/ABS('Input Responden'!D33))</f>
        <v>1</v>
      </c>
      <c r="D353" s="11">
        <f>IF('Input Responden'!E33&gt;=0,IF('Input Responden'!E33=0,1,'Input Responden'!E33),1/ABS('Input Responden'!E33))</f>
        <v>1</v>
      </c>
      <c r="E353" s="11">
        <f>IF('Input Responden'!F33&gt;=0,IF('Input Responden'!F33=0,1,'Input Responden'!F33),1/ABS('Input Responden'!F33))</f>
        <v>1</v>
      </c>
      <c r="G353" s="12">
        <f>AVERAGE(B353/B$357,C353/C$357,D353/D$357,E353/E$357)</f>
        <v>0.25</v>
      </c>
      <c r="H353" s="11">
        <f>B353*$G$353+C353*$G$354+D353*$G$355+E353*$G$356</f>
        <v>1</v>
      </c>
      <c r="I353" s="11">
        <f>H353/G353</f>
        <v>4</v>
      </c>
    </row>
    <row r="354" spans="1:9" x14ac:dyDescent="0.3">
      <c r="A354" s="10" t="s">
        <v>59</v>
      </c>
      <c r="B354" s="11">
        <f>1/C353</f>
        <v>1</v>
      </c>
      <c r="C354" s="11">
        <v>1</v>
      </c>
      <c r="D354" s="11">
        <f>IF('Input Responden'!G33&gt;=0,IF('Input Responden'!G33=0,1,'Input Responden'!G33),1/ABS('Input Responden'!G33))</f>
        <v>1</v>
      </c>
      <c r="E354" s="11">
        <f>IF('Input Responden'!H33&gt;=0,IF('Input Responden'!H33=0,1,'Input Responden'!H33),1/ABS('Input Responden'!H33))</f>
        <v>1</v>
      </c>
      <c r="G354" s="12">
        <f>AVERAGE(B354/B$357,C354/C$357,D354/D$357,E354/E$357)</f>
        <v>0.25</v>
      </c>
      <c r="H354" s="11">
        <f>B354*$G$353+C354*$G$354+D354*$G$355+E354*$G$356</f>
        <v>1</v>
      </c>
      <c r="I354" s="11">
        <f>H354/G354</f>
        <v>4</v>
      </c>
    </row>
    <row r="355" spans="1:9" x14ac:dyDescent="0.3">
      <c r="A355" s="10" t="s">
        <v>60</v>
      </c>
      <c r="B355" s="11">
        <f>1/D353</f>
        <v>1</v>
      </c>
      <c r="C355" s="11">
        <f>1/D354</f>
        <v>1</v>
      </c>
      <c r="D355" s="11">
        <v>1</v>
      </c>
      <c r="E355" s="11">
        <f>IF('Input Responden'!I33&gt;=0,IF('Input Responden'!I33=0,1,'Input Responden'!I33),1/ABS('Input Responden'!I33))</f>
        <v>1</v>
      </c>
      <c r="G355" s="12">
        <f>AVERAGE(B355/B$357,C355/C$357,D355/D$357,E355/E$357)</f>
        <v>0.25</v>
      </c>
      <c r="H355" s="11">
        <f>B355*$G$353+C355*$G$354+D355*$G$355+E355*$G$356</f>
        <v>1</v>
      </c>
      <c r="I355" s="11">
        <f>H355/G355</f>
        <v>4</v>
      </c>
    </row>
    <row r="356" spans="1:9" x14ac:dyDescent="0.3">
      <c r="A356" s="10" t="s">
        <v>61</v>
      </c>
      <c r="B356" s="11">
        <f>1/E353</f>
        <v>1</v>
      </c>
      <c r="C356" s="11">
        <f>1/E354</f>
        <v>1</v>
      </c>
      <c r="D356" s="11">
        <f>1/E355</f>
        <v>1</v>
      </c>
      <c r="E356" s="11">
        <v>1</v>
      </c>
      <c r="G356" s="12">
        <f>AVERAGE(B356/B$357,C356/C$357,D356/D$357,E356/E$357)</f>
        <v>0.25</v>
      </c>
      <c r="H356" s="11">
        <f>B356*$G$353+C356*$G$354+D356*$G$355+E356*$G$356</f>
        <v>1</v>
      </c>
      <c r="I356" s="11">
        <f>H356/G356</f>
        <v>4</v>
      </c>
    </row>
    <row r="357" spans="1:9" x14ac:dyDescent="0.3">
      <c r="A357" s="13" t="s">
        <v>65</v>
      </c>
      <c r="B357" s="11">
        <f>SUM(B353:B356)</f>
        <v>4</v>
      </c>
      <c r="C357" s="11">
        <f>SUM(C353:C356)</f>
        <v>4</v>
      </c>
      <c r="D357" s="11">
        <f>SUM(D353:D356)</f>
        <v>4</v>
      </c>
      <c r="E357" s="11">
        <f>SUM(E353:E356)</f>
        <v>4</v>
      </c>
    </row>
    <row r="358" spans="1:9" x14ac:dyDescent="0.3">
      <c r="A358" s="1" t="s">
        <v>66</v>
      </c>
      <c r="G358" s="12">
        <f>AVERAGE(I353:I356)</f>
        <v>4</v>
      </c>
    </row>
    <row r="359" spans="1:9" x14ac:dyDescent="0.3">
      <c r="A359" s="1" t="s">
        <v>67</v>
      </c>
      <c r="G359" s="12">
        <f>(G358-4)/(4-1)</f>
        <v>0</v>
      </c>
    </row>
    <row r="360" spans="1:9" x14ac:dyDescent="0.3">
      <c r="A360" s="29" t="s">
        <v>68</v>
      </c>
      <c r="B360" s="29"/>
      <c r="C360" s="29"/>
      <c r="D360" s="29"/>
      <c r="G360" s="14">
        <f>G359/0.9</f>
        <v>0</v>
      </c>
    </row>
    <row r="361" spans="1:9" ht="27.6" x14ac:dyDescent="0.3">
      <c r="A361" s="1" t="s">
        <v>69</v>
      </c>
      <c r="G361" s="15" t="str">
        <f>IF('Input Responden'!B33="","Belum diisi",IF(G360&lt;=0.1,"Konsisten - dipakai","Tidak Konsisten - dikecualikan"))</f>
        <v>Konsisten - dipakai</v>
      </c>
    </row>
    <row r="363" spans="1:9" x14ac:dyDescent="0.3">
      <c r="A363" s="9" t="s">
        <v>99</v>
      </c>
      <c r="B363" s="28" t="str">
        <f>'Input Responden'!B34</f>
        <v>Faisal Fadhiil</v>
      </c>
      <c r="C363" s="28"/>
      <c r="D363" s="28"/>
    </row>
    <row r="364" spans="1:9" x14ac:dyDescent="0.3">
      <c r="A364" s="10"/>
      <c r="B364" s="10" t="s">
        <v>58</v>
      </c>
      <c r="C364" s="10" t="s">
        <v>59</v>
      </c>
      <c r="D364" s="10" t="s">
        <v>60</v>
      </c>
      <c r="E364" s="10" t="s">
        <v>61</v>
      </c>
      <c r="F364" s="10"/>
      <c r="G364" s="10" t="s">
        <v>62</v>
      </c>
      <c r="H364" s="10" t="s">
        <v>63</v>
      </c>
      <c r="I364" s="10" t="s">
        <v>64</v>
      </c>
    </row>
    <row r="365" spans="1:9" x14ac:dyDescent="0.3">
      <c r="A365" s="10" t="s">
        <v>58</v>
      </c>
      <c r="B365" s="11">
        <v>1</v>
      </c>
      <c r="C365" s="11">
        <f>IF('Input Responden'!D34&gt;=0,IF('Input Responden'!D34=0,1,'Input Responden'!D34),1/ABS('Input Responden'!D34))</f>
        <v>1</v>
      </c>
      <c r="D365" s="11">
        <f>IF('Input Responden'!E34&gt;=0,IF('Input Responden'!E34=0,1,'Input Responden'!E34),1/ABS('Input Responden'!E34))</f>
        <v>1</v>
      </c>
      <c r="E365" s="11">
        <f>IF('Input Responden'!F34&gt;=0,IF('Input Responden'!F34=0,1,'Input Responden'!F34),1/ABS('Input Responden'!F34))</f>
        <v>3</v>
      </c>
      <c r="G365" s="12">
        <f>AVERAGE(B365/B$369,C365/C$369,D365/D$369,E365/E$369)</f>
        <v>0.31160714285714286</v>
      </c>
      <c r="H365" s="11">
        <f>B365*$G$365+C365*$G$366+D365*$G$367+E365*$G$368</f>
        <v>1.2553571428571428</v>
      </c>
      <c r="I365" s="11">
        <f>H365/G365</f>
        <v>4.0286532951289393</v>
      </c>
    </row>
    <row r="366" spans="1:9" x14ac:dyDescent="0.3">
      <c r="A366" s="10" t="s">
        <v>59</v>
      </c>
      <c r="B366" s="11">
        <f>1/C365</f>
        <v>1</v>
      </c>
      <c r="C366" s="11">
        <v>1</v>
      </c>
      <c r="D366" s="11">
        <f>IF('Input Responden'!G34&gt;=0,IF('Input Responden'!G34=0,1,'Input Responden'!G34),1/ABS('Input Responden'!G34))</f>
        <v>1</v>
      </c>
      <c r="E366" s="11">
        <f>IF('Input Responden'!H34&gt;=0,IF('Input Responden'!H34=0,1,'Input Responden'!H34),1/ABS('Input Responden'!H34))</f>
        <v>2</v>
      </c>
      <c r="G366" s="12">
        <f>AVERAGE(B366/B$369,C366/C$369,D366/D$369,E366/E$369)</f>
        <v>0.28035714285714286</v>
      </c>
      <c r="H366" s="11">
        <f>B366*$G$365+C366*$G$366+D366*$G$367+E366*$G$368</f>
        <v>1.1276785714285715</v>
      </c>
      <c r="I366" s="11">
        <f>H366/G366</f>
        <v>4.0222929936305736</v>
      </c>
    </row>
    <row r="367" spans="1:9" x14ac:dyDescent="0.3">
      <c r="A367" s="10" t="s">
        <v>60</v>
      </c>
      <c r="B367" s="11">
        <f>1/D365</f>
        <v>1</v>
      </c>
      <c r="C367" s="11">
        <f>1/D366</f>
        <v>1</v>
      </c>
      <c r="D367" s="11">
        <v>1</v>
      </c>
      <c r="E367" s="11">
        <f>IF('Input Responden'!I34&gt;=0,IF('Input Responden'!I34=0,1,'Input Responden'!I34),1/ABS('Input Responden'!I34))</f>
        <v>2</v>
      </c>
      <c r="G367" s="12">
        <f>AVERAGE(B367/B$369,C367/C$369,D367/D$369,E367/E$369)</f>
        <v>0.28035714285714286</v>
      </c>
      <c r="H367" s="11">
        <f>B367*$G$365+C367*$G$366+D367*$G$367+E367*$G$368</f>
        <v>1.1276785714285715</v>
      </c>
      <c r="I367" s="11">
        <f>H367/G367</f>
        <v>4.0222929936305736</v>
      </c>
    </row>
    <row r="368" spans="1:9" x14ac:dyDescent="0.3">
      <c r="A368" s="10" t="s">
        <v>61</v>
      </c>
      <c r="B368" s="11">
        <f>1/E365</f>
        <v>0.33333333333333331</v>
      </c>
      <c r="C368" s="11">
        <f>1/E366</f>
        <v>0.5</v>
      </c>
      <c r="D368" s="11">
        <f>1/E367</f>
        <v>0.5</v>
      </c>
      <c r="E368" s="11">
        <v>1</v>
      </c>
      <c r="G368" s="12">
        <f>AVERAGE(B368/B$369,C368/C$369,D368/D$369,E368/E$369)</f>
        <v>0.12767857142857142</v>
      </c>
      <c r="H368" s="11">
        <f>B368*$G$365+C368*$G$366+D368*$G$367+E368*$G$368</f>
        <v>0.51190476190476186</v>
      </c>
      <c r="I368" s="11">
        <f>H368/G368</f>
        <v>4.0093240093240095</v>
      </c>
    </row>
    <row r="369" spans="1:9" x14ac:dyDescent="0.3">
      <c r="A369" s="13" t="s">
        <v>65</v>
      </c>
      <c r="B369" s="11">
        <f>SUM(B365:B368)</f>
        <v>3.3333333333333335</v>
      </c>
      <c r="C369" s="11">
        <f>SUM(C365:C368)</f>
        <v>3.5</v>
      </c>
      <c r="D369" s="11">
        <f>SUM(D365:D368)</f>
        <v>3.5</v>
      </c>
      <c r="E369" s="11">
        <f>SUM(E365:E368)</f>
        <v>8</v>
      </c>
    </row>
    <row r="370" spans="1:9" x14ac:dyDescent="0.3">
      <c r="A370" s="1" t="s">
        <v>66</v>
      </c>
      <c r="G370" s="12">
        <f>AVERAGE(I365:I368)</f>
        <v>4.0206408229285238</v>
      </c>
    </row>
    <row r="371" spans="1:9" x14ac:dyDescent="0.3">
      <c r="A371" s="1" t="s">
        <v>67</v>
      </c>
      <c r="G371" s="12">
        <f>(G370-4)/(4-1)</f>
        <v>6.8802743095079206E-3</v>
      </c>
    </row>
    <row r="372" spans="1:9" x14ac:dyDescent="0.3">
      <c r="A372" s="29" t="s">
        <v>68</v>
      </c>
      <c r="B372" s="29"/>
      <c r="C372" s="29"/>
      <c r="D372" s="29"/>
      <c r="G372" s="14">
        <f>G371/0.9</f>
        <v>7.6447492327865784E-3</v>
      </c>
    </row>
    <row r="373" spans="1:9" ht="27.6" x14ac:dyDescent="0.3">
      <c r="A373" s="1" t="s">
        <v>69</v>
      </c>
      <c r="G373" s="15" t="str">
        <f>IF('Input Responden'!B34="","Belum diisi",IF(G372&lt;=0.1,"Konsisten - dipakai","Tidak Konsisten - dikecualikan"))</f>
        <v>Konsisten - dipakai</v>
      </c>
    </row>
    <row r="375" spans="1:9" x14ac:dyDescent="0.3">
      <c r="A375" s="9" t="s">
        <v>100</v>
      </c>
      <c r="B375" s="28" t="str">
        <f>'Input Responden'!B35</f>
        <v>Akbar</v>
      </c>
      <c r="C375" s="28"/>
      <c r="D375" s="28"/>
    </row>
    <row r="376" spans="1:9" x14ac:dyDescent="0.3">
      <c r="A376" s="10"/>
      <c r="B376" s="10" t="s">
        <v>58</v>
      </c>
      <c r="C376" s="10" t="s">
        <v>59</v>
      </c>
      <c r="D376" s="10" t="s">
        <v>60</v>
      </c>
      <c r="E376" s="10" t="s">
        <v>61</v>
      </c>
      <c r="F376" s="10"/>
      <c r="G376" s="10" t="s">
        <v>62</v>
      </c>
      <c r="H376" s="10" t="s">
        <v>63</v>
      </c>
      <c r="I376" s="10" t="s">
        <v>64</v>
      </c>
    </row>
    <row r="377" spans="1:9" x14ac:dyDescent="0.3">
      <c r="A377" s="10" t="s">
        <v>58</v>
      </c>
      <c r="B377" s="11">
        <v>1</v>
      </c>
      <c r="C377" s="11">
        <f>IF('Input Responden'!D35&gt;=0,IF('Input Responden'!D35=0,1,'Input Responden'!D35),1/ABS('Input Responden'!D35))</f>
        <v>1</v>
      </c>
      <c r="D377" s="11">
        <f>IF('Input Responden'!E35&gt;=0,IF('Input Responden'!E35=0,1,'Input Responden'!E35),1/ABS('Input Responden'!E35))</f>
        <v>1</v>
      </c>
      <c r="E377" s="11">
        <f>IF('Input Responden'!F35&gt;=0,IF('Input Responden'!F35=0,1,'Input Responden'!F35),1/ABS('Input Responden'!F35))</f>
        <v>4</v>
      </c>
      <c r="G377" s="12">
        <f>AVERAGE(B377/B$381,C377/C$381,D377/D$381,E377/E$381)</f>
        <v>0.31634615384615383</v>
      </c>
      <c r="H377" s="11">
        <f>B377*$G$377+C377*$G$378+D377*$G$379+E377*$G$380</f>
        <v>1.3778846153846154</v>
      </c>
      <c r="I377" s="11">
        <f>H377/G377</f>
        <v>4.3556231003039514</v>
      </c>
    </row>
    <row r="378" spans="1:9" x14ac:dyDescent="0.3">
      <c r="A378" s="10" t="s">
        <v>59</v>
      </c>
      <c r="B378" s="11">
        <f>1/C377</f>
        <v>1</v>
      </c>
      <c r="C378" s="11">
        <v>1</v>
      </c>
      <c r="D378" s="11">
        <f>IF('Input Responden'!G35&gt;=0,IF('Input Responden'!G35=0,1,'Input Responden'!G35),1/ABS('Input Responden'!G35))</f>
        <v>1</v>
      </c>
      <c r="E378" s="11">
        <f>IF('Input Responden'!H35&gt;=0,IF('Input Responden'!H35=0,1,'Input Responden'!H35),1/ABS('Input Responden'!H35))</f>
        <v>4</v>
      </c>
      <c r="G378" s="12">
        <f>AVERAGE(B378/B$381,C378/C$381,D378/D$381,E378/E$381)</f>
        <v>0.31634615384615383</v>
      </c>
      <c r="H378" s="11">
        <f>B378*$G$377+C378*$G$378+D378*$G$379+E378*$G$380</f>
        <v>1.3778846153846154</v>
      </c>
      <c r="I378" s="11">
        <f>H378/G378</f>
        <v>4.3556231003039514</v>
      </c>
    </row>
    <row r="379" spans="1:9" x14ac:dyDescent="0.3">
      <c r="A379" s="10" t="s">
        <v>60</v>
      </c>
      <c r="B379" s="11">
        <f>1/D377</f>
        <v>1</v>
      </c>
      <c r="C379" s="11">
        <f>1/D378</f>
        <v>1</v>
      </c>
      <c r="D379" s="11">
        <v>1</v>
      </c>
      <c r="E379" s="11">
        <f>IF('Input Responden'!I35&gt;=0,IF('Input Responden'!I35=0,1,'Input Responden'!I35),1/ABS('Input Responden'!I35))</f>
        <v>1</v>
      </c>
      <c r="G379" s="12">
        <f>AVERAGE(B379/B$381,C379/C$381,D379/D$381,E379/E$381)</f>
        <v>0.24134615384615385</v>
      </c>
      <c r="H379" s="11">
        <f>B379*$G$377+C379*$G$378+D379*$G$379+E379*$G$380</f>
        <v>1</v>
      </c>
      <c r="I379" s="11">
        <f>H379/G379</f>
        <v>4.143426294820717</v>
      </c>
    </row>
    <row r="380" spans="1:9" x14ac:dyDescent="0.3">
      <c r="A380" s="10" t="s">
        <v>61</v>
      </c>
      <c r="B380" s="11">
        <f>1/E377</f>
        <v>0.25</v>
      </c>
      <c r="C380" s="11">
        <f>1/E378</f>
        <v>0.25</v>
      </c>
      <c r="D380" s="11">
        <f>1/E379</f>
        <v>1</v>
      </c>
      <c r="E380" s="11">
        <v>1</v>
      </c>
      <c r="G380" s="12">
        <f>AVERAGE(B380/B$381,C380/C$381,D380/D$381,E380/E$381)</f>
        <v>0.12596153846153846</v>
      </c>
      <c r="H380" s="11">
        <f>B380*$G$377+C380*$G$378+D380*$G$379+E380*$G$380</f>
        <v>0.52548076923076925</v>
      </c>
      <c r="I380" s="11">
        <f>H380/G380</f>
        <v>4.1717557251908399</v>
      </c>
    </row>
    <row r="381" spans="1:9" x14ac:dyDescent="0.3">
      <c r="A381" s="13" t="s">
        <v>65</v>
      </c>
      <c r="B381" s="11">
        <f>SUM(B377:B380)</f>
        <v>3.25</v>
      </c>
      <c r="C381" s="11">
        <f>SUM(C377:C380)</f>
        <v>3.25</v>
      </c>
      <c r="D381" s="11">
        <f>SUM(D377:D380)</f>
        <v>4</v>
      </c>
      <c r="E381" s="11">
        <f>SUM(E377:E380)</f>
        <v>10</v>
      </c>
    </row>
    <row r="382" spans="1:9" x14ac:dyDescent="0.3">
      <c r="A382" s="1" t="s">
        <v>66</v>
      </c>
      <c r="G382" s="12">
        <f>AVERAGE(I377:I380)</f>
        <v>4.2566070551548645</v>
      </c>
    </row>
    <row r="383" spans="1:9" x14ac:dyDescent="0.3">
      <c r="A383" s="1" t="s">
        <v>67</v>
      </c>
      <c r="G383" s="12">
        <f>(G382-4)/(4-1)</f>
        <v>8.5535685051621499E-2</v>
      </c>
    </row>
    <row r="384" spans="1:9" x14ac:dyDescent="0.3">
      <c r="A384" s="29" t="s">
        <v>68</v>
      </c>
      <c r="B384" s="29"/>
      <c r="C384" s="29"/>
      <c r="D384" s="29"/>
      <c r="G384" s="14">
        <f>G383/0.9</f>
        <v>9.5039650057357219E-2</v>
      </c>
    </row>
    <row r="385" spans="1:9" ht="27.6" x14ac:dyDescent="0.3">
      <c r="A385" s="1" t="s">
        <v>69</v>
      </c>
      <c r="G385" s="15" t="str">
        <f>IF('Input Responden'!B35="","Belum diisi",IF(G384&lt;=0.1,"Konsisten - dipakai","Tidak Konsisten - dikecualikan"))</f>
        <v>Konsisten - dipakai</v>
      </c>
    </row>
    <row r="387" spans="1:9" x14ac:dyDescent="0.3">
      <c r="A387" s="9" t="s">
        <v>101</v>
      </c>
      <c r="B387" s="28" t="str">
        <f>'Input Responden'!B36</f>
        <v>BAGUS MAULANA</v>
      </c>
      <c r="C387" s="28"/>
      <c r="D387" s="28"/>
    </row>
    <row r="388" spans="1:9" x14ac:dyDescent="0.3">
      <c r="A388" s="10"/>
      <c r="B388" s="10" t="s">
        <v>58</v>
      </c>
      <c r="C388" s="10" t="s">
        <v>59</v>
      </c>
      <c r="D388" s="10" t="s">
        <v>60</v>
      </c>
      <c r="E388" s="10" t="s">
        <v>61</v>
      </c>
      <c r="F388" s="10"/>
      <c r="G388" s="10" t="s">
        <v>62</v>
      </c>
      <c r="H388" s="10" t="s">
        <v>63</v>
      </c>
      <c r="I388" s="10" t="s">
        <v>64</v>
      </c>
    </row>
    <row r="389" spans="1:9" x14ac:dyDescent="0.3">
      <c r="A389" s="10" t="s">
        <v>58</v>
      </c>
      <c r="B389" s="11">
        <v>1</v>
      </c>
      <c r="C389" s="11">
        <f>IF('Input Responden'!D36&gt;=0,IF('Input Responden'!D36=0,1,'Input Responden'!D36),1/ABS('Input Responden'!D36))</f>
        <v>1</v>
      </c>
      <c r="D389" s="11">
        <f>IF('Input Responden'!E36&gt;=0,IF('Input Responden'!E36=0,1,'Input Responden'!E36),1/ABS('Input Responden'!E36))</f>
        <v>0.2</v>
      </c>
      <c r="E389" s="11">
        <f>IF('Input Responden'!F36&gt;=0,IF('Input Responden'!F36=0,1,'Input Responden'!F36),1/ABS('Input Responden'!F36))</f>
        <v>0.25</v>
      </c>
      <c r="G389" s="12">
        <f>AVERAGE(B389/B$393,C389/C$393,D389/D$393,E389/E$393)</f>
        <v>0.10243132257150948</v>
      </c>
      <c r="H389" s="11">
        <f>B389*$G$389+C389*$G$390+D389*$G$391+E389*$G$392</f>
        <v>0.41322451146983863</v>
      </c>
      <c r="I389" s="11">
        <f>H389/G389</f>
        <v>4.034161632359651</v>
      </c>
    </row>
    <row r="390" spans="1:9" x14ac:dyDescent="0.3">
      <c r="A390" s="10" t="s">
        <v>59</v>
      </c>
      <c r="B390" s="11">
        <f>1/C389</f>
        <v>1</v>
      </c>
      <c r="C390" s="11">
        <v>1</v>
      </c>
      <c r="D390" s="11">
        <f>IF('Input Responden'!G36&gt;=0,IF('Input Responden'!G36=0,1,'Input Responden'!G36),1/ABS('Input Responden'!G36))</f>
        <v>0.33333333333333331</v>
      </c>
      <c r="E390" s="11">
        <f>IF('Input Responden'!H36&gt;=0,IF('Input Responden'!H36=0,1,'Input Responden'!H36),1/ABS('Input Responden'!H36))</f>
        <v>1</v>
      </c>
      <c r="G390" s="12">
        <f>AVERAGE(B390/B$393,C390/C$393,D390/D$393,E390/E$393)</f>
        <v>0.15112291135655623</v>
      </c>
      <c r="H390" s="11">
        <f>B390*$G$389+C390*$G$390+D390*$G$391+E390*$G$392</f>
        <v>0.6407844803171906</v>
      </c>
      <c r="I390" s="11">
        <f>H390/G390</f>
        <v>4.2401544184477569</v>
      </c>
    </row>
    <row r="391" spans="1:9" x14ac:dyDescent="0.3">
      <c r="A391" s="10" t="s">
        <v>60</v>
      </c>
      <c r="B391" s="11">
        <f>1/D389</f>
        <v>5</v>
      </c>
      <c r="C391" s="11">
        <f>1/D390</f>
        <v>3</v>
      </c>
      <c r="D391" s="11">
        <v>1</v>
      </c>
      <c r="E391" s="11">
        <f>IF('Input Responden'!I36&gt;=0,IF('Input Responden'!I36=0,1,'Input Responden'!I36),1/ABS('Input Responden'!I36))</f>
        <v>4</v>
      </c>
      <c r="G391" s="12">
        <f>AVERAGE(B391/B$393,C391/C$393,D391/D$393,E391/E$393)</f>
        <v>0.53882327952421416</v>
      </c>
      <c r="H391" s="11">
        <f>B391*$G$389+C391*$G$390+D391*$G$391+E391*$G$392</f>
        <v>2.3348385726423109</v>
      </c>
      <c r="I391" s="11">
        <f>H391/G391</f>
        <v>4.333217701180236</v>
      </c>
    </row>
    <row r="392" spans="1:9" x14ac:dyDescent="0.3">
      <c r="A392" s="10" t="s">
        <v>61</v>
      </c>
      <c r="B392" s="11">
        <f>1/E389</f>
        <v>4</v>
      </c>
      <c r="C392" s="11">
        <f>1/E390</f>
        <v>1</v>
      </c>
      <c r="D392" s="11">
        <f>1/E391</f>
        <v>0.25</v>
      </c>
      <c r="E392" s="11">
        <v>1</v>
      </c>
      <c r="G392" s="12">
        <f>AVERAGE(B392/B$393,C392/C$393,D392/D$393,E392/E$393)</f>
        <v>0.2076224865477202</v>
      </c>
      <c r="H392" s="11">
        <f>B392*$G$389+C392*$G$390+D392*$G$391+E392*$G$392</f>
        <v>0.90317650807136796</v>
      </c>
      <c r="I392" s="11">
        <f>H392/G392</f>
        <v>4.3500900268034348</v>
      </c>
    </row>
    <row r="393" spans="1:9" x14ac:dyDescent="0.3">
      <c r="A393" s="13" t="s">
        <v>65</v>
      </c>
      <c r="B393" s="11">
        <f>SUM(B389:B392)</f>
        <v>11</v>
      </c>
      <c r="C393" s="11">
        <f>SUM(C389:C392)</f>
        <v>6</v>
      </c>
      <c r="D393" s="11">
        <f>SUM(D389:D392)</f>
        <v>1.7833333333333332</v>
      </c>
      <c r="E393" s="11">
        <f>SUM(E389:E392)</f>
        <v>6.25</v>
      </c>
    </row>
    <row r="394" spans="1:9" x14ac:dyDescent="0.3">
      <c r="A394" s="1" t="s">
        <v>66</v>
      </c>
      <c r="G394" s="12">
        <f>AVERAGE(I389:I392)</f>
        <v>4.2394059446977694</v>
      </c>
    </row>
    <row r="395" spans="1:9" x14ac:dyDescent="0.3">
      <c r="A395" s="1" t="s">
        <v>67</v>
      </c>
      <c r="G395" s="12">
        <f>(G394-4)/(4-1)</f>
        <v>7.980198156592315E-2</v>
      </c>
    </row>
    <row r="396" spans="1:9" x14ac:dyDescent="0.3">
      <c r="A396" s="29" t="s">
        <v>68</v>
      </c>
      <c r="B396" s="29"/>
      <c r="C396" s="29"/>
      <c r="D396" s="29"/>
      <c r="G396" s="14">
        <f>G395/0.9</f>
        <v>8.866886840658128E-2</v>
      </c>
    </row>
    <row r="397" spans="1:9" ht="27.6" x14ac:dyDescent="0.3">
      <c r="A397" s="1" t="s">
        <v>69</v>
      </c>
      <c r="G397" s="15" t="str">
        <f>IF('Input Responden'!B36="","Belum diisi",IF(G396&lt;=0.1,"Konsisten - dipakai","Tidak Konsisten - dikecualikan"))</f>
        <v>Konsisten - dipakai</v>
      </c>
    </row>
    <row r="399" spans="1:9" x14ac:dyDescent="0.3">
      <c r="A399" s="9" t="s">
        <v>102</v>
      </c>
      <c r="B399" s="28" t="str">
        <f>'Input Responden'!B37</f>
        <v>Sulaksono prasetyo</v>
      </c>
      <c r="C399" s="28"/>
      <c r="D399" s="28"/>
    </row>
    <row r="400" spans="1:9" x14ac:dyDescent="0.3">
      <c r="A400" s="10"/>
      <c r="B400" s="10" t="s">
        <v>58</v>
      </c>
      <c r="C400" s="10" t="s">
        <v>59</v>
      </c>
      <c r="D400" s="10" t="s">
        <v>60</v>
      </c>
      <c r="E400" s="10" t="s">
        <v>61</v>
      </c>
      <c r="F400" s="10"/>
      <c r="G400" s="10" t="s">
        <v>62</v>
      </c>
      <c r="H400" s="10" t="s">
        <v>63</v>
      </c>
      <c r="I400" s="10" t="s">
        <v>64</v>
      </c>
    </row>
    <row r="401" spans="1:9" x14ac:dyDescent="0.3">
      <c r="A401" s="10" t="s">
        <v>58</v>
      </c>
      <c r="B401" s="11">
        <v>1</v>
      </c>
      <c r="C401" s="11">
        <f>IF('Input Responden'!D37&gt;=0,IF('Input Responden'!D37=0,1,'Input Responden'!D37),1/ABS('Input Responden'!D37))</f>
        <v>5</v>
      </c>
      <c r="D401" s="11">
        <f>IF('Input Responden'!E37&gt;=0,IF('Input Responden'!E37=0,1,'Input Responden'!E37),1/ABS('Input Responden'!E37))</f>
        <v>5</v>
      </c>
      <c r="E401" s="11">
        <f>IF('Input Responden'!F37&gt;=0,IF('Input Responden'!F37=0,1,'Input Responden'!F37),1/ABS('Input Responden'!F37))</f>
        <v>5</v>
      </c>
      <c r="G401" s="12">
        <f>AVERAGE(B401/B$405,C401/C$405,D401/D$405,E401/E$405)</f>
        <v>0.54129464285714279</v>
      </c>
      <c r="H401" s="11">
        <f>B401*$G$401+C401*$G$402+D401*$G$403+E401*$G$404</f>
        <v>2.8348214285714288</v>
      </c>
      <c r="I401" s="11">
        <f>H401/G401</f>
        <v>5.2371134020618566</v>
      </c>
    </row>
    <row r="402" spans="1:9" x14ac:dyDescent="0.3">
      <c r="A402" s="10" t="s">
        <v>59</v>
      </c>
      <c r="B402" s="11">
        <f>1/C401</f>
        <v>0.2</v>
      </c>
      <c r="C402" s="11">
        <v>1</v>
      </c>
      <c r="D402" s="11">
        <f>IF('Input Responden'!G37&gt;=0,IF('Input Responden'!G37=0,1,'Input Responden'!G37),1/ABS('Input Responden'!G37))</f>
        <v>0.2</v>
      </c>
      <c r="E402" s="11">
        <f>IF('Input Responden'!H37&gt;=0,IF('Input Responden'!H37=0,1,'Input Responden'!H37),1/ABS('Input Responden'!H37))</f>
        <v>5</v>
      </c>
      <c r="G402" s="12">
        <f>AVERAGE(B402/B$405,C402/C$405,D402/D$405,E402/E$405)</f>
        <v>0.13950892857142858</v>
      </c>
      <c r="H402" s="11">
        <f>B402*$G$401+C402*$G$402+D402*$G$403+E402*$G$404</f>
        <v>0.59553571428571428</v>
      </c>
      <c r="I402" s="11">
        <f>H402/G402</f>
        <v>4.2687999999999997</v>
      </c>
    </row>
    <row r="403" spans="1:9" x14ac:dyDescent="0.3">
      <c r="A403" s="10" t="s">
        <v>60</v>
      </c>
      <c r="B403" s="11">
        <f>1/D401</f>
        <v>0.2</v>
      </c>
      <c r="C403" s="11">
        <f>1/D402</f>
        <v>5</v>
      </c>
      <c r="D403" s="11">
        <v>1</v>
      </c>
      <c r="E403" s="11">
        <f>IF('Input Responden'!I37&gt;=0,IF('Input Responden'!I37=0,1,'Input Responden'!I37),1/ABS('Input Responden'!I37))</f>
        <v>5</v>
      </c>
      <c r="G403" s="12">
        <f>AVERAGE(B403/B$405,C403/C$405,D403/D$405,E403/E$405)</f>
        <v>0.2600446428571429</v>
      </c>
      <c r="H403" s="11">
        <f>B403*$G$401+C403*$G$402+D403*$G$403+E403*$G$404</f>
        <v>1.361607142857143</v>
      </c>
      <c r="I403" s="11">
        <f>H403/G403</f>
        <v>5.236051502145922</v>
      </c>
    </row>
    <row r="404" spans="1:9" x14ac:dyDescent="0.3">
      <c r="A404" s="10" t="s">
        <v>61</v>
      </c>
      <c r="B404" s="11">
        <f>1/E401</f>
        <v>0.2</v>
      </c>
      <c r="C404" s="11">
        <f>1/E402</f>
        <v>0.2</v>
      </c>
      <c r="D404" s="11">
        <f>1/E403</f>
        <v>0.2</v>
      </c>
      <c r="E404" s="11">
        <v>1</v>
      </c>
      <c r="G404" s="12">
        <f>AVERAGE(B404/B$405,C404/C$405,D404/D$405,E404/E$405)</f>
        <v>5.9151785714285719E-2</v>
      </c>
      <c r="H404" s="11">
        <f>B404*$G$401+C404*$G$402+D404*$G$403+E404*$G$404</f>
        <v>0.24732142857142858</v>
      </c>
      <c r="I404" s="11">
        <f>H404/G404</f>
        <v>4.1811320754716981</v>
      </c>
    </row>
    <row r="405" spans="1:9" x14ac:dyDescent="0.3">
      <c r="A405" s="13" t="s">
        <v>65</v>
      </c>
      <c r="B405" s="11">
        <f>SUM(B401:B404)</f>
        <v>1.5999999999999999</v>
      </c>
      <c r="C405" s="11">
        <f>SUM(C401:C404)</f>
        <v>11.2</v>
      </c>
      <c r="D405" s="11">
        <f>SUM(D401:D404)</f>
        <v>6.4</v>
      </c>
      <c r="E405" s="11">
        <f>SUM(E401:E404)</f>
        <v>16</v>
      </c>
    </row>
    <row r="406" spans="1:9" x14ac:dyDescent="0.3">
      <c r="A406" s="1" t="s">
        <v>66</v>
      </c>
      <c r="G406" s="12">
        <f>AVERAGE(I401:I404)</f>
        <v>4.7307742449198695</v>
      </c>
    </row>
    <row r="407" spans="1:9" x14ac:dyDescent="0.3">
      <c r="A407" s="1" t="s">
        <v>67</v>
      </c>
      <c r="G407" s="12">
        <f>(G406-4)/(4-1)</f>
        <v>0.24359141497328984</v>
      </c>
    </row>
    <row r="408" spans="1:9" x14ac:dyDescent="0.3">
      <c r="A408" s="29" t="s">
        <v>68</v>
      </c>
      <c r="B408" s="29"/>
      <c r="C408" s="29"/>
      <c r="D408" s="29"/>
      <c r="G408" s="14">
        <f>G407/0.9</f>
        <v>0.2706571277480998</v>
      </c>
    </row>
    <row r="409" spans="1:9" ht="41.4" x14ac:dyDescent="0.3">
      <c r="A409" s="1" t="s">
        <v>69</v>
      </c>
      <c r="G409" s="15" t="str">
        <f>IF('Input Responden'!B37="","Belum diisi",IF(G408&lt;=0.1,"Konsisten - dipakai","Tidak Konsisten - dikecualikan"))</f>
        <v>Tidak Konsisten - dikecualikan</v>
      </c>
    </row>
    <row r="411" spans="1:9" x14ac:dyDescent="0.3">
      <c r="A411" s="9" t="s">
        <v>103</v>
      </c>
      <c r="B411" s="28" t="str">
        <f>'Input Responden'!B38</f>
        <v>Eko</v>
      </c>
      <c r="C411" s="28"/>
      <c r="D411" s="28"/>
    </row>
    <row r="412" spans="1:9" x14ac:dyDescent="0.3">
      <c r="A412" s="10"/>
      <c r="B412" s="10" t="s">
        <v>58</v>
      </c>
      <c r="C412" s="10" t="s">
        <v>59</v>
      </c>
      <c r="D412" s="10" t="s">
        <v>60</v>
      </c>
      <c r="E412" s="10" t="s">
        <v>61</v>
      </c>
      <c r="F412" s="10"/>
      <c r="G412" s="10" t="s">
        <v>62</v>
      </c>
      <c r="H412" s="10" t="s">
        <v>63</v>
      </c>
      <c r="I412" s="10" t="s">
        <v>64</v>
      </c>
    </row>
    <row r="413" spans="1:9" x14ac:dyDescent="0.3">
      <c r="A413" s="10" t="s">
        <v>58</v>
      </c>
      <c r="B413" s="11">
        <v>1</v>
      </c>
      <c r="C413" s="11">
        <f>IF('Input Responden'!D38&gt;=0,IF('Input Responden'!D38=0,1,'Input Responden'!D38),1/ABS('Input Responden'!D38))</f>
        <v>4</v>
      </c>
      <c r="D413" s="11">
        <f>IF('Input Responden'!E38&gt;=0,IF('Input Responden'!E38=0,1,'Input Responden'!E38),1/ABS('Input Responden'!E38))</f>
        <v>4</v>
      </c>
      <c r="E413" s="11">
        <f>IF('Input Responden'!F38&gt;=0,IF('Input Responden'!F38=0,1,'Input Responden'!F38),1/ABS('Input Responden'!F38))</f>
        <v>4</v>
      </c>
      <c r="G413" s="12">
        <f>AVERAGE(B413/B$417,C413/C$417,D413/D$417,E413/E$417)</f>
        <v>0.50970650970650966</v>
      </c>
      <c r="H413" s="11">
        <f>B413*$G$413+C413*$G$414+D413*$G$415+E413*$G$416</f>
        <v>2.4708804708804708</v>
      </c>
      <c r="I413" s="11">
        <f>H413/G413</f>
        <v>4.8476533531094397</v>
      </c>
    </row>
    <row r="414" spans="1:9" x14ac:dyDescent="0.3">
      <c r="A414" s="10" t="s">
        <v>59</v>
      </c>
      <c r="B414" s="11">
        <f>1/C413</f>
        <v>0.25</v>
      </c>
      <c r="C414" s="11">
        <v>1</v>
      </c>
      <c r="D414" s="11">
        <f>IF('Input Responden'!G38&gt;=0,IF('Input Responden'!G38=0,1,'Input Responden'!G38),1/ABS('Input Responden'!G38))</f>
        <v>4</v>
      </c>
      <c r="E414" s="11">
        <f>IF('Input Responden'!H38&gt;=0,IF('Input Responden'!H38=0,1,'Input Responden'!H38),1/ABS('Input Responden'!H38))</f>
        <v>4</v>
      </c>
      <c r="G414" s="12">
        <f>AVERAGE(B414/B$417,C414/C$417,D414/D$417,E414/E$417)</f>
        <v>0.26620001620001621</v>
      </c>
      <c r="H414" s="11">
        <f>B414*$G$413+C414*$G$414+D414*$G$415+E414*$G$416</f>
        <v>1.2900005400005401</v>
      </c>
      <c r="I414" s="11">
        <f>H414/G414</f>
        <v>4.8459821994573629</v>
      </c>
    </row>
    <row r="415" spans="1:9" x14ac:dyDescent="0.3">
      <c r="A415" s="10" t="s">
        <v>60</v>
      </c>
      <c r="B415" s="11">
        <f>1/D413</f>
        <v>0.25</v>
      </c>
      <c r="C415" s="11">
        <f>1/D414</f>
        <v>0.25</v>
      </c>
      <c r="D415" s="11">
        <v>1</v>
      </c>
      <c r="E415" s="11">
        <f>IF('Input Responden'!I38&gt;=0,IF('Input Responden'!I38=0,1,'Input Responden'!I38),1/ABS('Input Responden'!I38))</f>
        <v>4</v>
      </c>
      <c r="G415" s="12">
        <f>AVERAGE(B415/B$417,C415/C$417,D415/D$417,E415/E$417)</f>
        <v>0.15102802602802604</v>
      </c>
      <c r="H415" s="11">
        <f>B415*$G$413+C415*$G$414+D415*$G$415+E415*$G$416</f>
        <v>0.63726644976644975</v>
      </c>
      <c r="I415" s="11">
        <f>H415/G415</f>
        <v>4.2195244586471201</v>
      </c>
    </row>
    <row r="416" spans="1:9" x14ac:dyDescent="0.3">
      <c r="A416" s="10" t="s">
        <v>61</v>
      </c>
      <c r="B416" s="11">
        <f>1/E413</f>
        <v>0.25</v>
      </c>
      <c r="C416" s="11">
        <f>1/E414</f>
        <v>0.25</v>
      </c>
      <c r="D416" s="11">
        <f>1/E415</f>
        <v>0.25</v>
      </c>
      <c r="E416" s="11">
        <v>1</v>
      </c>
      <c r="G416" s="12">
        <f>AVERAGE(B416/B$417,C416/C$417,D416/D$417,E416/E$417)</f>
        <v>7.3065448065448069E-2</v>
      </c>
      <c r="H416" s="11">
        <f>B416*$G$413+C416*$G$414+D416*$G$415+E416*$G$416</f>
        <v>0.30479908604908601</v>
      </c>
      <c r="I416" s="11">
        <f>H416/G416</f>
        <v>4.1715899117742152</v>
      </c>
    </row>
    <row r="417" spans="1:9" x14ac:dyDescent="0.3">
      <c r="A417" s="13" t="s">
        <v>65</v>
      </c>
      <c r="B417" s="11">
        <f>SUM(B413:B416)</f>
        <v>1.75</v>
      </c>
      <c r="C417" s="11">
        <f>SUM(C413:C416)</f>
        <v>5.5</v>
      </c>
      <c r="D417" s="11">
        <f>SUM(D413:D416)</f>
        <v>9.25</v>
      </c>
      <c r="E417" s="11">
        <f>SUM(E413:E416)</f>
        <v>13</v>
      </c>
    </row>
    <row r="418" spans="1:9" x14ac:dyDescent="0.3">
      <c r="A418" s="1" t="s">
        <v>66</v>
      </c>
      <c r="G418" s="12">
        <f>AVERAGE(I413:I416)</f>
        <v>4.5211874807470345</v>
      </c>
    </row>
    <row r="419" spans="1:9" x14ac:dyDescent="0.3">
      <c r="A419" s="1" t="s">
        <v>67</v>
      </c>
      <c r="G419" s="12">
        <f>(G418-4)/(4-1)</f>
        <v>0.1737291602490115</v>
      </c>
    </row>
    <row r="420" spans="1:9" x14ac:dyDescent="0.3">
      <c r="A420" s="29" t="s">
        <v>68</v>
      </c>
      <c r="B420" s="29"/>
      <c r="C420" s="29"/>
      <c r="D420" s="29"/>
      <c r="G420" s="14">
        <f>G419/0.9</f>
        <v>0.19303240027667945</v>
      </c>
    </row>
    <row r="421" spans="1:9" ht="41.4" x14ac:dyDescent="0.3">
      <c r="A421" s="1" t="s">
        <v>69</v>
      </c>
      <c r="G421" s="15" t="str">
        <f>IF('Input Responden'!B38="","Belum diisi",IF(G420&lt;=0.1,"Konsisten - dipakai","Tidak Konsisten - dikecualikan"))</f>
        <v>Tidak Konsisten - dikecualikan</v>
      </c>
    </row>
    <row r="423" spans="1:9" x14ac:dyDescent="0.3">
      <c r="A423" s="9" t="s">
        <v>104</v>
      </c>
      <c r="B423" s="28" t="str">
        <f>'Input Responden'!B39</f>
        <v>TRENDI NUGROHO</v>
      </c>
      <c r="C423" s="28"/>
      <c r="D423" s="28"/>
    </row>
    <row r="424" spans="1:9" x14ac:dyDescent="0.3">
      <c r="A424" s="10"/>
      <c r="B424" s="10" t="s">
        <v>58</v>
      </c>
      <c r="C424" s="10" t="s">
        <v>59</v>
      </c>
      <c r="D424" s="10" t="s">
        <v>60</v>
      </c>
      <c r="E424" s="10" t="s">
        <v>61</v>
      </c>
      <c r="F424" s="10"/>
      <c r="G424" s="10" t="s">
        <v>62</v>
      </c>
      <c r="H424" s="10" t="s">
        <v>63</v>
      </c>
      <c r="I424" s="10" t="s">
        <v>64</v>
      </c>
    </row>
    <row r="425" spans="1:9" x14ac:dyDescent="0.3">
      <c r="A425" s="10" t="s">
        <v>58</v>
      </c>
      <c r="B425" s="11">
        <v>1</v>
      </c>
      <c r="C425" s="11">
        <f>IF('Input Responden'!D39&gt;=0,IF('Input Responden'!D39=0,1,'Input Responden'!D39),1/ABS('Input Responden'!D39))</f>
        <v>5</v>
      </c>
      <c r="D425" s="11">
        <f>IF('Input Responden'!E39&gt;=0,IF('Input Responden'!E39=0,1,'Input Responden'!E39),1/ABS('Input Responden'!E39))</f>
        <v>4</v>
      </c>
      <c r="E425" s="11">
        <f>IF('Input Responden'!F39&gt;=0,IF('Input Responden'!F39=0,1,'Input Responden'!F39),1/ABS('Input Responden'!F39))</f>
        <v>4</v>
      </c>
      <c r="G425" s="12">
        <f>AVERAGE(B425/B$429,C425/C$429,D425/D$429,E425/E$429)</f>
        <v>0.51534132567464797</v>
      </c>
      <c r="H425" s="11">
        <f>B425*$G$425+C425*$G$426+D425*$G$427+E425*$G$428</f>
        <v>2.7210217740396914</v>
      </c>
      <c r="I425" s="11">
        <f>H425/G425</f>
        <v>5.2800379835199989</v>
      </c>
    </row>
    <row r="426" spans="1:9" x14ac:dyDescent="0.3">
      <c r="A426" s="10" t="s">
        <v>59</v>
      </c>
      <c r="B426" s="11">
        <f>1/C425</f>
        <v>0.2</v>
      </c>
      <c r="C426" s="11">
        <v>1</v>
      </c>
      <c r="D426" s="11">
        <f>IF('Input Responden'!G39&gt;=0,IF('Input Responden'!G39=0,1,'Input Responden'!G39),1/ABS('Input Responden'!G39))</f>
        <v>5</v>
      </c>
      <c r="E426" s="11">
        <f>IF('Input Responden'!H39&gt;=0,IF('Input Responden'!H39=0,1,'Input Responden'!H39),1/ABS('Input Responden'!H39))</f>
        <v>4</v>
      </c>
      <c r="G426" s="12">
        <f>AVERAGE(B426/B$429,C426/C$429,D426/D$429,E426/E$429)</f>
        <v>0.26704575106363504</v>
      </c>
      <c r="H426" s="11">
        <f>B426*$G$425+C426*$G$426+D426*$G$427+E426*$G$428</f>
        <v>1.3863956739377981</v>
      </c>
      <c r="I426" s="11">
        <f>H426/G426</f>
        <v>5.1916035676127654</v>
      </c>
    </row>
    <row r="427" spans="1:9" x14ac:dyDescent="0.3">
      <c r="A427" s="10" t="s">
        <v>60</v>
      </c>
      <c r="B427" s="11">
        <f>1/D425</f>
        <v>0.25</v>
      </c>
      <c r="C427" s="11">
        <f>1/D426</f>
        <v>0.2</v>
      </c>
      <c r="D427" s="11">
        <v>1</v>
      </c>
      <c r="E427" s="11">
        <f>IF('Input Responden'!I39&gt;=0,IF('Input Responden'!I39=0,1,'Input Responden'!I39),1/ABS('Input Responden'!I39))</f>
        <v>4</v>
      </c>
      <c r="G427" s="12">
        <f>AVERAGE(B427/B$429,C427/C$429,D427/D$429,E427/E$429)</f>
        <v>0.14582996469236503</v>
      </c>
      <c r="H427" s="11">
        <f>B427*$G$425+C427*$G$426+D427*$G$427+E427*$G$428</f>
        <v>0.61520628060116234</v>
      </c>
      <c r="I427" s="11">
        <f>H427/G427</f>
        <v>4.2186548004655151</v>
      </c>
    </row>
    <row r="428" spans="1:9" x14ac:dyDescent="0.3">
      <c r="A428" s="10" t="s">
        <v>61</v>
      </c>
      <c r="B428" s="11">
        <f>1/E425</f>
        <v>0.25</v>
      </c>
      <c r="C428" s="11">
        <f>1/E426</f>
        <v>0.25</v>
      </c>
      <c r="D428" s="11">
        <f>1/E427</f>
        <v>0.25</v>
      </c>
      <c r="E428" s="11">
        <v>1</v>
      </c>
      <c r="G428" s="12">
        <f>AVERAGE(B428/B$429,C428/C$429,D428/D$429,E428/E$429)</f>
        <v>7.1782958569352073E-2</v>
      </c>
      <c r="H428" s="11">
        <f>B428*$G$425+C428*$G$426+D428*$G$427+E428*$G$428</f>
        <v>0.3038372189270141</v>
      </c>
      <c r="I428" s="11">
        <f>H428/G428</f>
        <v>4.2327207596698058</v>
      </c>
    </row>
    <row r="429" spans="1:9" x14ac:dyDescent="0.3">
      <c r="A429" s="13" t="s">
        <v>65</v>
      </c>
      <c r="B429" s="11">
        <f>SUM(B425:B428)</f>
        <v>1.7</v>
      </c>
      <c r="C429" s="11">
        <f>SUM(C425:C428)</f>
        <v>6.45</v>
      </c>
      <c r="D429" s="11">
        <f>SUM(D425:D428)</f>
        <v>10.25</v>
      </c>
      <c r="E429" s="11">
        <f>SUM(E425:E428)</f>
        <v>13</v>
      </c>
    </row>
    <row r="430" spans="1:9" x14ac:dyDescent="0.3">
      <c r="A430" s="1" t="s">
        <v>66</v>
      </c>
      <c r="G430" s="12">
        <f>AVERAGE(I425:I428)</f>
        <v>4.7307542778170211</v>
      </c>
    </row>
    <row r="431" spans="1:9" x14ac:dyDescent="0.3">
      <c r="A431" s="1" t="s">
        <v>67</v>
      </c>
      <c r="G431" s="12">
        <f>(G430-4)/(4-1)</f>
        <v>0.24358475927234036</v>
      </c>
    </row>
    <row r="432" spans="1:9" x14ac:dyDescent="0.3">
      <c r="A432" s="29" t="s">
        <v>68</v>
      </c>
      <c r="B432" s="29"/>
      <c r="C432" s="29"/>
      <c r="D432" s="29"/>
      <c r="G432" s="14">
        <f>G431/0.9</f>
        <v>0.27064973252482261</v>
      </c>
    </row>
    <row r="433" spans="1:9" ht="41.4" x14ac:dyDescent="0.3">
      <c r="A433" s="1" t="s">
        <v>69</v>
      </c>
      <c r="G433" s="15" t="str">
        <f>IF('Input Responden'!B39="","Belum diisi",IF(G432&lt;=0.1,"Konsisten - dipakai","Tidak Konsisten - dikecualikan"))</f>
        <v>Tidak Konsisten - dikecualikan</v>
      </c>
    </row>
    <row r="435" spans="1:9" x14ac:dyDescent="0.3">
      <c r="A435" s="9" t="s">
        <v>105</v>
      </c>
      <c r="B435" s="28" t="str">
        <f>'Input Responden'!B40</f>
        <v xml:space="preserve">YOVIKA FIRMANSYAH </v>
      </c>
      <c r="C435" s="28"/>
      <c r="D435" s="28"/>
    </row>
    <row r="436" spans="1:9" x14ac:dyDescent="0.3">
      <c r="A436" s="10"/>
      <c r="B436" s="10" t="s">
        <v>58</v>
      </c>
      <c r="C436" s="10" t="s">
        <v>59</v>
      </c>
      <c r="D436" s="10" t="s">
        <v>60</v>
      </c>
      <c r="E436" s="10" t="s">
        <v>61</v>
      </c>
      <c r="F436" s="10"/>
      <c r="G436" s="10" t="s">
        <v>62</v>
      </c>
      <c r="H436" s="10" t="s">
        <v>63</v>
      </c>
      <c r="I436" s="10" t="s">
        <v>64</v>
      </c>
    </row>
    <row r="437" spans="1:9" x14ac:dyDescent="0.3">
      <c r="A437" s="10" t="s">
        <v>58</v>
      </c>
      <c r="B437" s="11">
        <v>1</v>
      </c>
      <c r="C437" s="11">
        <f>IF('Input Responden'!D40&gt;=0,IF('Input Responden'!D40=0,1,'Input Responden'!D40),1/ABS('Input Responden'!D40))</f>
        <v>0.2</v>
      </c>
      <c r="D437" s="11">
        <f>IF('Input Responden'!E40&gt;=0,IF('Input Responden'!E40=0,1,'Input Responden'!E40),1/ABS('Input Responden'!E40))</f>
        <v>0.2</v>
      </c>
      <c r="E437" s="11">
        <f>IF('Input Responden'!F40&gt;=0,IF('Input Responden'!F40=0,1,'Input Responden'!F40),1/ABS('Input Responden'!F40))</f>
        <v>0.2</v>
      </c>
      <c r="G437" s="12">
        <f>AVERAGE(B437/B$441,C437/C$441,D437/D$441,E437/E$441)</f>
        <v>5.9151785714285712E-2</v>
      </c>
      <c r="H437" s="11">
        <f>B437*$G$437+C437*$G$438+D437*$G$439+E437*$G$440</f>
        <v>0.24732142857142858</v>
      </c>
      <c r="I437" s="11">
        <f>H437/G437</f>
        <v>4.1811320754716981</v>
      </c>
    </row>
    <row r="438" spans="1:9" x14ac:dyDescent="0.3">
      <c r="A438" s="10" t="s">
        <v>59</v>
      </c>
      <c r="B438" s="11">
        <f>1/C437</f>
        <v>5</v>
      </c>
      <c r="C438" s="11">
        <v>1</v>
      </c>
      <c r="D438" s="11">
        <f>IF('Input Responden'!G40&gt;=0,IF('Input Responden'!G40=0,1,'Input Responden'!G40),1/ABS('Input Responden'!G40))</f>
        <v>0.2</v>
      </c>
      <c r="E438" s="11">
        <f>IF('Input Responden'!H40&gt;=0,IF('Input Responden'!H40=0,1,'Input Responden'!H40),1/ABS('Input Responden'!H40))</f>
        <v>0.2</v>
      </c>
      <c r="G438" s="12">
        <f>AVERAGE(B438/B$441,C438/C$441,D438/D$441,E438/E$441)</f>
        <v>0.13950892857142858</v>
      </c>
      <c r="H438" s="11">
        <f>B438*$G$437+C438*$G$438+D438*$G$439+E438*$G$440</f>
        <v>0.59553571428571428</v>
      </c>
      <c r="I438" s="11">
        <f>H438/G438</f>
        <v>4.2687999999999997</v>
      </c>
    </row>
    <row r="439" spans="1:9" x14ac:dyDescent="0.3">
      <c r="A439" s="10" t="s">
        <v>60</v>
      </c>
      <c r="B439" s="11">
        <f>1/D437</f>
        <v>5</v>
      </c>
      <c r="C439" s="11">
        <f>1/D438</f>
        <v>5</v>
      </c>
      <c r="D439" s="11">
        <v>1</v>
      </c>
      <c r="E439" s="11">
        <f>IF('Input Responden'!I40&gt;=0,IF('Input Responden'!I40=0,1,'Input Responden'!I40),1/ABS('Input Responden'!I40))</f>
        <v>0.2</v>
      </c>
      <c r="G439" s="12">
        <f>AVERAGE(B439/B$441,C439/C$441,D439/D$441,E439/E$441)</f>
        <v>0.26004464285714285</v>
      </c>
      <c r="H439" s="11">
        <f>B439*$G$437+C439*$G$438+D439*$G$439+E439*$G$440</f>
        <v>1.3616071428571428</v>
      </c>
      <c r="I439" s="11">
        <f>H439/G439</f>
        <v>5.2360515021459229</v>
      </c>
    </row>
    <row r="440" spans="1:9" x14ac:dyDescent="0.3">
      <c r="A440" s="10" t="s">
        <v>61</v>
      </c>
      <c r="B440" s="11">
        <f>1/E437</f>
        <v>5</v>
      </c>
      <c r="C440" s="11">
        <f>1/E438</f>
        <v>5</v>
      </c>
      <c r="D440" s="11">
        <f>1/E439</f>
        <v>5</v>
      </c>
      <c r="E440" s="11">
        <v>1</v>
      </c>
      <c r="G440" s="12">
        <f>AVERAGE(B440/B$441,C440/C$441,D440/D$441,E440/E$441)</f>
        <v>0.54129464285714279</v>
      </c>
      <c r="H440" s="11">
        <f>B440*$G$437+C440*$G$438+D440*$G$439+E440*$G$440</f>
        <v>2.8348214285714284</v>
      </c>
      <c r="I440" s="11">
        <f>H440/G440</f>
        <v>5.2371134020618557</v>
      </c>
    </row>
    <row r="441" spans="1:9" x14ac:dyDescent="0.3">
      <c r="A441" s="13" t="s">
        <v>65</v>
      </c>
      <c r="B441" s="11">
        <f>SUM(B437:B440)</f>
        <v>16</v>
      </c>
      <c r="C441" s="11">
        <f>SUM(C437:C440)</f>
        <v>11.2</v>
      </c>
      <c r="D441" s="11">
        <f>SUM(D437:D440)</f>
        <v>6.4</v>
      </c>
      <c r="E441" s="11">
        <f>SUM(E437:E440)</f>
        <v>1.6</v>
      </c>
    </row>
    <row r="442" spans="1:9" x14ac:dyDescent="0.3">
      <c r="A442" s="1" t="s">
        <v>66</v>
      </c>
      <c r="G442" s="12">
        <f>AVERAGE(I437:I440)</f>
        <v>4.7307742449198686</v>
      </c>
    </row>
    <row r="443" spans="1:9" x14ac:dyDescent="0.3">
      <c r="A443" s="1" t="s">
        <v>67</v>
      </c>
      <c r="G443" s="12">
        <f>(G442-4)/(4-1)</f>
        <v>0.24359141497328954</v>
      </c>
    </row>
    <row r="444" spans="1:9" x14ac:dyDescent="0.3">
      <c r="A444" s="29" t="s">
        <v>68</v>
      </c>
      <c r="B444" s="29"/>
      <c r="C444" s="29"/>
      <c r="D444" s="29"/>
      <c r="G444" s="14">
        <f>G443/0.9</f>
        <v>0.27065712774809947</v>
      </c>
    </row>
    <row r="445" spans="1:9" ht="41.4" x14ac:dyDescent="0.3">
      <c r="A445" s="1" t="s">
        <v>69</v>
      </c>
      <c r="G445" s="15" t="str">
        <f>IF('Input Responden'!B40="","Belum diisi",IF(G444&lt;=0.1,"Konsisten - dipakai","Tidak Konsisten - dikecualikan"))</f>
        <v>Tidak Konsisten - dikecualikan</v>
      </c>
    </row>
    <row r="447" spans="1:9" x14ac:dyDescent="0.3">
      <c r="A447" s="9" t="s">
        <v>106</v>
      </c>
      <c r="B447" s="28" t="str">
        <f>'Input Responden'!B41</f>
        <v>irwan budi</v>
      </c>
      <c r="C447" s="28"/>
      <c r="D447" s="28"/>
    </row>
    <row r="448" spans="1:9" x14ac:dyDescent="0.3">
      <c r="A448" s="10"/>
      <c r="B448" s="10" t="s">
        <v>58</v>
      </c>
      <c r="C448" s="10" t="s">
        <v>59</v>
      </c>
      <c r="D448" s="10" t="s">
        <v>60</v>
      </c>
      <c r="E448" s="10" t="s">
        <v>61</v>
      </c>
      <c r="F448" s="10"/>
      <c r="G448" s="10" t="s">
        <v>62</v>
      </c>
      <c r="H448" s="10" t="s">
        <v>63</v>
      </c>
      <c r="I448" s="10" t="s">
        <v>64</v>
      </c>
    </row>
    <row r="449" spans="1:9" x14ac:dyDescent="0.3">
      <c r="A449" s="10" t="s">
        <v>58</v>
      </c>
      <c r="B449" s="11">
        <v>1</v>
      </c>
      <c r="C449" s="11">
        <f>IF('Input Responden'!D41&gt;=0,IF('Input Responden'!D41=0,1,'Input Responden'!D41),1/ABS('Input Responden'!D41))</f>
        <v>1</v>
      </c>
      <c r="D449" s="11">
        <f>IF('Input Responden'!E41&gt;=0,IF('Input Responden'!E41=0,1,'Input Responden'!E41),1/ABS('Input Responden'!E41))</f>
        <v>1</v>
      </c>
      <c r="E449" s="11">
        <f>IF('Input Responden'!F41&gt;=0,IF('Input Responden'!F41=0,1,'Input Responden'!F41),1/ABS('Input Responden'!F41))</f>
        <v>1</v>
      </c>
      <c r="G449" s="12">
        <f>AVERAGE(B449/B$453,C449/C$453,D449/D$453,E449/E$453)</f>
        <v>0.234375</v>
      </c>
      <c r="H449" s="11">
        <f>B449*$G$449+C449*$G$450+D449*$G$451+E449*$G$452</f>
        <v>1</v>
      </c>
      <c r="I449" s="11">
        <f>H449/G449</f>
        <v>4.2666666666666666</v>
      </c>
    </row>
    <row r="450" spans="1:9" x14ac:dyDescent="0.3">
      <c r="A450" s="10" t="s">
        <v>59</v>
      </c>
      <c r="B450" s="11">
        <f>1/C449</f>
        <v>1</v>
      </c>
      <c r="C450" s="11">
        <v>1</v>
      </c>
      <c r="D450" s="11">
        <f>IF('Input Responden'!G41&gt;=0,IF('Input Responden'!G41=0,1,'Input Responden'!G41),1/ABS('Input Responden'!G41))</f>
        <v>1</v>
      </c>
      <c r="E450" s="11">
        <f>IF('Input Responden'!H41&gt;=0,IF('Input Responden'!H41=0,1,'Input Responden'!H41),1/ABS('Input Responden'!H41))</f>
        <v>5</v>
      </c>
      <c r="G450" s="12">
        <f>AVERAGE(B450/B$453,C450/C$453,D450/D$453,E450/E$453)</f>
        <v>0.359375</v>
      </c>
      <c r="H450" s="11">
        <f>B450*$G$449+C450*$G$450+D450*$G$451+E450*$G$452</f>
        <v>1.6875</v>
      </c>
      <c r="I450" s="11">
        <f>H450/G450</f>
        <v>4.6956521739130439</v>
      </c>
    </row>
    <row r="451" spans="1:9" x14ac:dyDescent="0.3">
      <c r="A451" s="10" t="s">
        <v>60</v>
      </c>
      <c r="B451" s="11">
        <f>1/D449</f>
        <v>1</v>
      </c>
      <c r="C451" s="11">
        <f>1/D450</f>
        <v>1</v>
      </c>
      <c r="D451" s="11">
        <v>1</v>
      </c>
      <c r="E451" s="11">
        <f>IF('Input Responden'!I41&gt;=0,IF('Input Responden'!I41=0,1,'Input Responden'!I41),1/ABS('Input Responden'!I41))</f>
        <v>1</v>
      </c>
      <c r="G451" s="12">
        <f>AVERAGE(B451/B$453,C451/C$453,D451/D$453,E451/E$453)</f>
        <v>0.234375</v>
      </c>
      <c r="H451" s="11">
        <f>B451*$G$449+C451*$G$450+D451*$G$451+E451*$G$452</f>
        <v>1</v>
      </c>
      <c r="I451" s="11">
        <f>H451/G451</f>
        <v>4.2666666666666666</v>
      </c>
    </row>
    <row r="452" spans="1:9" x14ac:dyDescent="0.3">
      <c r="A452" s="10" t="s">
        <v>61</v>
      </c>
      <c r="B452" s="11">
        <f>1/E449</f>
        <v>1</v>
      </c>
      <c r="C452" s="11">
        <f>1/E450</f>
        <v>0.2</v>
      </c>
      <c r="D452" s="11">
        <f>1/E451</f>
        <v>1</v>
      </c>
      <c r="E452" s="11">
        <v>1</v>
      </c>
      <c r="G452" s="12">
        <f>AVERAGE(B452/B$453,C452/C$453,D452/D$453,E452/E$453)</f>
        <v>0.171875</v>
      </c>
      <c r="H452" s="11">
        <f>B452*$G$449+C452*$G$450+D452*$G$451+E452*$G$452</f>
        <v>0.71250000000000002</v>
      </c>
      <c r="I452" s="11">
        <f>H452/G452</f>
        <v>4.1454545454545455</v>
      </c>
    </row>
    <row r="453" spans="1:9" x14ac:dyDescent="0.3">
      <c r="A453" s="13" t="s">
        <v>65</v>
      </c>
      <c r="B453" s="11">
        <f>SUM(B449:B452)</f>
        <v>4</v>
      </c>
      <c r="C453" s="11">
        <f>SUM(C449:C452)</f>
        <v>3.2</v>
      </c>
      <c r="D453" s="11">
        <f>SUM(D449:D452)</f>
        <v>4</v>
      </c>
      <c r="E453" s="11">
        <f>SUM(E449:E452)</f>
        <v>8</v>
      </c>
    </row>
    <row r="454" spans="1:9" x14ac:dyDescent="0.3">
      <c r="A454" s="1" t="s">
        <v>66</v>
      </c>
      <c r="G454" s="12">
        <f>AVERAGE(I449:I452)</f>
        <v>4.3436100131752307</v>
      </c>
    </row>
    <row r="455" spans="1:9" x14ac:dyDescent="0.3">
      <c r="A455" s="1" t="s">
        <v>67</v>
      </c>
      <c r="G455" s="12">
        <f>(G454-4)/(4-1)</f>
        <v>0.11453667105841021</v>
      </c>
    </row>
    <row r="456" spans="1:9" x14ac:dyDescent="0.3">
      <c r="A456" s="29" t="s">
        <v>68</v>
      </c>
      <c r="B456" s="29"/>
      <c r="C456" s="29"/>
      <c r="D456" s="29"/>
      <c r="G456" s="14">
        <f>G455/0.9</f>
        <v>0.12726296784267802</v>
      </c>
    </row>
    <row r="457" spans="1:9" ht="41.4" x14ac:dyDescent="0.3">
      <c r="A457" s="1" t="s">
        <v>69</v>
      </c>
      <c r="G457" s="15" t="str">
        <f>IF('Input Responden'!B41="","Belum diisi",IF(G456&lt;=0.1,"Konsisten - dipakai","Tidak Konsisten - dikecualikan"))</f>
        <v>Tidak Konsisten - dikecualikan</v>
      </c>
    </row>
    <row r="459" spans="1:9" x14ac:dyDescent="0.3">
      <c r="A459" s="9" t="s">
        <v>107</v>
      </c>
      <c r="B459" s="28" t="str">
        <f>'Input Responden'!B42</f>
        <v>GINANJAR H. R.</v>
      </c>
      <c r="C459" s="28"/>
      <c r="D459" s="28"/>
    </row>
    <row r="460" spans="1:9" x14ac:dyDescent="0.3">
      <c r="A460" s="10"/>
      <c r="B460" s="10" t="s">
        <v>58</v>
      </c>
      <c r="C460" s="10" t="s">
        <v>59</v>
      </c>
      <c r="D460" s="10" t="s">
        <v>60</v>
      </c>
      <c r="E460" s="10" t="s">
        <v>61</v>
      </c>
      <c r="F460" s="10"/>
      <c r="G460" s="10" t="s">
        <v>62</v>
      </c>
      <c r="H460" s="10" t="s">
        <v>63</v>
      </c>
      <c r="I460" s="10" t="s">
        <v>64</v>
      </c>
    </row>
    <row r="461" spans="1:9" x14ac:dyDescent="0.3">
      <c r="A461" s="10" t="s">
        <v>58</v>
      </c>
      <c r="B461" s="11">
        <v>1</v>
      </c>
      <c r="C461" s="11">
        <f>IF('Input Responden'!D42&gt;=0,IF('Input Responden'!D42=0,1,'Input Responden'!D42),1/ABS('Input Responden'!D42))</f>
        <v>1</v>
      </c>
      <c r="D461" s="11">
        <f>IF('Input Responden'!E42&gt;=0,IF('Input Responden'!E42=0,1,'Input Responden'!E42),1/ABS('Input Responden'!E42))</f>
        <v>1</v>
      </c>
      <c r="E461" s="11">
        <f>IF('Input Responden'!F42&gt;=0,IF('Input Responden'!F42=0,1,'Input Responden'!F42),1/ABS('Input Responden'!F42))</f>
        <v>2</v>
      </c>
      <c r="G461" s="12">
        <f>AVERAGE(B461/B$465,C461/C$465,D461/D$465,E461/E$465)</f>
        <v>0.2857142857142857</v>
      </c>
      <c r="H461" s="11">
        <f>B461*$G$461+C461*$G$462+D461*$G$463+E461*$G$464</f>
        <v>1.1428571428571428</v>
      </c>
      <c r="I461" s="11">
        <f>H461/G461</f>
        <v>4</v>
      </c>
    </row>
    <row r="462" spans="1:9" x14ac:dyDescent="0.3">
      <c r="A462" s="10" t="s">
        <v>59</v>
      </c>
      <c r="B462" s="11">
        <f>1/C461</f>
        <v>1</v>
      </c>
      <c r="C462" s="11">
        <v>1</v>
      </c>
      <c r="D462" s="11">
        <f>IF('Input Responden'!G42&gt;=0,IF('Input Responden'!G42=0,1,'Input Responden'!G42),1/ABS('Input Responden'!G42))</f>
        <v>1</v>
      </c>
      <c r="E462" s="11">
        <f>IF('Input Responden'!H42&gt;=0,IF('Input Responden'!H42=0,1,'Input Responden'!H42),1/ABS('Input Responden'!H42))</f>
        <v>2</v>
      </c>
      <c r="G462" s="12">
        <f>AVERAGE(B462/B$465,C462/C$465,D462/D$465,E462/E$465)</f>
        <v>0.2857142857142857</v>
      </c>
      <c r="H462" s="11">
        <f>B462*$G$461+C462*$G$462+D462*$G$463+E462*$G$464</f>
        <v>1.1428571428571428</v>
      </c>
      <c r="I462" s="11">
        <f>H462/G462</f>
        <v>4</v>
      </c>
    </row>
    <row r="463" spans="1:9" x14ac:dyDescent="0.3">
      <c r="A463" s="10" t="s">
        <v>60</v>
      </c>
      <c r="B463" s="11">
        <f>1/D461</f>
        <v>1</v>
      </c>
      <c r="C463" s="11">
        <f>1/D462</f>
        <v>1</v>
      </c>
      <c r="D463" s="11">
        <v>1</v>
      </c>
      <c r="E463" s="11">
        <f>IF('Input Responden'!I42&gt;=0,IF('Input Responden'!I42=0,1,'Input Responden'!I42),1/ABS('Input Responden'!I42))</f>
        <v>2</v>
      </c>
      <c r="G463" s="12">
        <f>AVERAGE(B463/B$465,C463/C$465,D463/D$465,E463/E$465)</f>
        <v>0.2857142857142857</v>
      </c>
      <c r="H463" s="11">
        <f>B463*$G$461+C463*$G$462+D463*$G$463+E463*$G$464</f>
        <v>1.1428571428571428</v>
      </c>
      <c r="I463" s="11">
        <f>H463/G463</f>
        <v>4</v>
      </c>
    </row>
    <row r="464" spans="1:9" x14ac:dyDescent="0.3">
      <c r="A464" s="10" t="s">
        <v>61</v>
      </c>
      <c r="B464" s="11">
        <f>1/E461</f>
        <v>0.5</v>
      </c>
      <c r="C464" s="11">
        <f>1/E462</f>
        <v>0.5</v>
      </c>
      <c r="D464" s="11">
        <f>1/E463</f>
        <v>0.5</v>
      </c>
      <c r="E464" s="11">
        <v>1</v>
      </c>
      <c r="G464" s="12">
        <f>AVERAGE(B464/B$465,C464/C$465,D464/D$465,E464/E$465)</f>
        <v>0.14285714285714285</v>
      </c>
      <c r="H464" s="11">
        <f>B464*$G$461+C464*$G$462+D464*$G$463+E464*$G$464</f>
        <v>0.5714285714285714</v>
      </c>
      <c r="I464" s="11">
        <f>H464/G464</f>
        <v>4</v>
      </c>
    </row>
    <row r="465" spans="1:9" x14ac:dyDescent="0.3">
      <c r="A465" s="13" t="s">
        <v>65</v>
      </c>
      <c r="B465" s="11">
        <f>SUM(B461:B464)</f>
        <v>3.5</v>
      </c>
      <c r="C465" s="11">
        <f>SUM(C461:C464)</f>
        <v>3.5</v>
      </c>
      <c r="D465" s="11">
        <f>SUM(D461:D464)</f>
        <v>3.5</v>
      </c>
      <c r="E465" s="11">
        <f>SUM(E461:E464)</f>
        <v>7</v>
      </c>
    </row>
    <row r="466" spans="1:9" x14ac:dyDescent="0.3">
      <c r="A466" s="1" t="s">
        <v>66</v>
      </c>
      <c r="G466" s="12">
        <f>AVERAGE(I461:I464)</f>
        <v>4</v>
      </c>
    </row>
    <row r="467" spans="1:9" x14ac:dyDescent="0.3">
      <c r="A467" s="1" t="s">
        <v>67</v>
      </c>
      <c r="G467" s="12">
        <f>(G466-4)/(4-1)</f>
        <v>0</v>
      </c>
    </row>
    <row r="468" spans="1:9" x14ac:dyDescent="0.3">
      <c r="A468" s="29" t="s">
        <v>68</v>
      </c>
      <c r="B468" s="29"/>
      <c r="C468" s="29"/>
      <c r="D468" s="29"/>
      <c r="G468" s="14">
        <f>G467/0.9</f>
        <v>0</v>
      </c>
    </row>
    <row r="469" spans="1:9" ht="27.6" x14ac:dyDescent="0.3">
      <c r="A469" s="1" t="s">
        <v>69</v>
      </c>
      <c r="G469" s="15" t="str">
        <f>IF('Input Responden'!B42="","Belum diisi",IF(G468&lt;=0.1,"Konsisten - dipakai","Tidak Konsisten - dikecualikan"))</f>
        <v>Konsisten - dipakai</v>
      </c>
    </row>
    <row r="471" spans="1:9" x14ac:dyDescent="0.3">
      <c r="A471" s="9" t="s">
        <v>108</v>
      </c>
      <c r="B471" s="28" t="str">
        <f>'Input Responden'!B43</f>
        <v xml:space="preserve">MISTUR ROHIM </v>
      </c>
      <c r="C471" s="28"/>
      <c r="D471" s="28"/>
    </row>
    <row r="472" spans="1:9" x14ac:dyDescent="0.3">
      <c r="A472" s="10"/>
      <c r="B472" s="10" t="s">
        <v>58</v>
      </c>
      <c r="C472" s="10" t="s">
        <v>59</v>
      </c>
      <c r="D472" s="10" t="s">
        <v>60</v>
      </c>
      <c r="E472" s="10" t="s">
        <v>61</v>
      </c>
      <c r="F472" s="10"/>
      <c r="G472" s="10" t="s">
        <v>62</v>
      </c>
      <c r="H472" s="10" t="s">
        <v>63</v>
      </c>
      <c r="I472" s="10" t="s">
        <v>64</v>
      </c>
    </row>
    <row r="473" spans="1:9" x14ac:dyDescent="0.3">
      <c r="A473" s="10" t="s">
        <v>58</v>
      </c>
      <c r="B473" s="11">
        <v>1</v>
      </c>
      <c r="C473" s="11">
        <f>IF('Input Responden'!D43&gt;=0,IF('Input Responden'!D43=0,1,'Input Responden'!D43),1/ABS('Input Responden'!D43))</f>
        <v>0.33333333333333331</v>
      </c>
      <c r="D473" s="11">
        <f>IF('Input Responden'!E43&gt;=0,IF('Input Responden'!E43=0,1,'Input Responden'!E43),1/ABS('Input Responden'!E43))</f>
        <v>0.25</v>
      </c>
      <c r="E473" s="11">
        <f>IF('Input Responden'!F43&gt;=0,IF('Input Responden'!F43=0,1,'Input Responden'!F43),1/ABS('Input Responden'!F43))</f>
        <v>0.33333333333333331</v>
      </c>
      <c r="G473" s="12">
        <f>AVERAGE(B473/B$477,C473/C$477,D473/D$477,E473/E$477)</f>
        <v>8.8474025974025983E-2</v>
      </c>
      <c r="H473" s="11">
        <f>B473*$G$473+C473*$G$474+D473*$G$475+E473*$G$476</f>
        <v>0.36918290043290047</v>
      </c>
      <c r="I473" s="11">
        <f>H473/G473</f>
        <v>4.1727828746177371</v>
      </c>
    </row>
    <row r="474" spans="1:9" x14ac:dyDescent="0.3">
      <c r="A474" s="10" t="s">
        <v>59</v>
      </c>
      <c r="B474" s="11">
        <f>1/C473</f>
        <v>3</v>
      </c>
      <c r="C474" s="11">
        <v>1</v>
      </c>
      <c r="D474" s="11">
        <f>IF('Input Responden'!G43&gt;=0,IF('Input Responden'!G43=0,1,'Input Responden'!G43),1/ABS('Input Responden'!G43))</f>
        <v>0.25</v>
      </c>
      <c r="E474" s="11">
        <f>IF('Input Responden'!H43&gt;=0,IF('Input Responden'!H43=0,1,'Input Responden'!H43),1/ABS('Input Responden'!H43))</f>
        <v>0.25</v>
      </c>
      <c r="G474" s="12">
        <f>AVERAGE(B474/B$477,C474/C$477,D474/D$477,E474/E$477)</f>
        <v>0.14042207792207792</v>
      </c>
      <c r="H474" s="11">
        <f>B474*$G$473+C474*$G$474+D474*$G$475+E474*$G$476</f>
        <v>0.59862012987012991</v>
      </c>
      <c r="I474" s="11">
        <f>H474/G474</f>
        <v>4.2630057803468215</v>
      </c>
    </row>
    <row r="475" spans="1:9" x14ac:dyDescent="0.3">
      <c r="A475" s="10" t="s">
        <v>60</v>
      </c>
      <c r="B475" s="11">
        <f>1/D473</f>
        <v>4</v>
      </c>
      <c r="C475" s="11">
        <f>1/D474</f>
        <v>4</v>
      </c>
      <c r="D475" s="11">
        <v>1</v>
      </c>
      <c r="E475" s="11">
        <f>IF('Input Responden'!I43&gt;=0,IF('Input Responden'!I43=0,1,'Input Responden'!I43),1/ABS('Input Responden'!I43))</f>
        <v>0.25</v>
      </c>
      <c r="G475" s="12">
        <f>AVERAGE(B475/B$477,C475/C$477,D475/D$477,E475/E$477)</f>
        <v>0.27759740259740262</v>
      </c>
      <c r="H475" s="11">
        <f>B475*$G$473+C475*$G$474+D475*$G$475+E475*$G$476</f>
        <v>1.3165584415584417</v>
      </c>
      <c r="I475" s="11">
        <f>H475/G475</f>
        <v>4.742690058479532</v>
      </c>
    </row>
    <row r="476" spans="1:9" x14ac:dyDescent="0.3">
      <c r="A476" s="10" t="s">
        <v>61</v>
      </c>
      <c r="B476" s="11">
        <f>1/E473</f>
        <v>3</v>
      </c>
      <c r="C476" s="11">
        <f>1/E474</f>
        <v>4</v>
      </c>
      <c r="D476" s="11">
        <f>1/E475</f>
        <v>4</v>
      </c>
      <c r="E476" s="11">
        <v>1</v>
      </c>
      <c r="G476" s="12">
        <f>AVERAGE(B476/B$477,C476/C$477,D476/D$477,E476/E$477)</f>
        <v>0.49350649350649356</v>
      </c>
      <c r="H476" s="11">
        <f>B476*$G$473+C476*$G$474+D476*$G$475+E476*$G$476</f>
        <v>2.4310064935064934</v>
      </c>
      <c r="I476" s="11">
        <f>H476/G476</f>
        <v>4.9259868421052628</v>
      </c>
    </row>
    <row r="477" spans="1:9" x14ac:dyDescent="0.3">
      <c r="A477" s="13" t="s">
        <v>65</v>
      </c>
      <c r="B477" s="11">
        <f>SUM(B473:B476)</f>
        <v>11</v>
      </c>
      <c r="C477" s="11">
        <f>SUM(C473:C476)</f>
        <v>9.3333333333333321</v>
      </c>
      <c r="D477" s="11">
        <f>SUM(D473:D476)</f>
        <v>5.5</v>
      </c>
      <c r="E477" s="11">
        <f>SUM(E473:E476)</f>
        <v>1.8333333333333333</v>
      </c>
    </row>
    <row r="478" spans="1:9" x14ac:dyDescent="0.3">
      <c r="A478" s="1" t="s">
        <v>66</v>
      </c>
      <c r="G478" s="12">
        <f>AVERAGE(I473:I476)</f>
        <v>4.5261163888873384</v>
      </c>
    </row>
    <row r="479" spans="1:9" x14ac:dyDescent="0.3">
      <c r="A479" s="1" t="s">
        <v>67</v>
      </c>
      <c r="G479" s="12">
        <f>(G478-4)/(4-1)</f>
        <v>0.17537212962911278</v>
      </c>
    </row>
    <row r="480" spans="1:9" x14ac:dyDescent="0.3">
      <c r="A480" s="29" t="s">
        <v>68</v>
      </c>
      <c r="B480" s="29"/>
      <c r="C480" s="29"/>
      <c r="D480" s="29"/>
      <c r="G480" s="14">
        <f>G479/0.9</f>
        <v>0.19485792181012529</v>
      </c>
    </row>
    <row r="481" spans="1:9" ht="41.4" x14ac:dyDescent="0.3">
      <c r="A481" s="1" t="s">
        <v>69</v>
      </c>
      <c r="G481" s="15" t="str">
        <f>IF('Input Responden'!B43="","Belum diisi",IF(G480&lt;=0.1,"Konsisten - dipakai","Tidak Konsisten - dikecualikan"))</f>
        <v>Tidak Konsisten - dikecualikan</v>
      </c>
    </row>
    <row r="483" spans="1:9" x14ac:dyDescent="0.3">
      <c r="A483" s="9" t="s">
        <v>109</v>
      </c>
      <c r="B483" s="28" t="str">
        <f>'Input Responden'!B44</f>
        <v>IQBAL HIKMI</v>
      </c>
      <c r="C483" s="28"/>
      <c r="D483" s="28"/>
    </row>
    <row r="484" spans="1:9" x14ac:dyDescent="0.3">
      <c r="A484" s="10"/>
      <c r="B484" s="10" t="s">
        <v>58</v>
      </c>
      <c r="C484" s="10" t="s">
        <v>59</v>
      </c>
      <c r="D484" s="10" t="s">
        <v>60</v>
      </c>
      <c r="E484" s="10" t="s">
        <v>61</v>
      </c>
      <c r="F484" s="10"/>
      <c r="G484" s="10" t="s">
        <v>62</v>
      </c>
      <c r="H484" s="10" t="s">
        <v>63</v>
      </c>
      <c r="I484" s="10" t="s">
        <v>64</v>
      </c>
    </row>
    <row r="485" spans="1:9" x14ac:dyDescent="0.3">
      <c r="A485" s="10" t="s">
        <v>58</v>
      </c>
      <c r="B485" s="11">
        <v>1</v>
      </c>
      <c r="C485" s="11">
        <f>IF('Input Responden'!D44&gt;=0,IF('Input Responden'!D44=0,1,'Input Responden'!D44),1/ABS('Input Responden'!D44))</f>
        <v>4</v>
      </c>
      <c r="D485" s="11">
        <f>IF('Input Responden'!E44&gt;=0,IF('Input Responden'!E44=0,1,'Input Responden'!E44),1/ABS('Input Responden'!E44))</f>
        <v>5</v>
      </c>
      <c r="E485" s="11">
        <f>IF('Input Responden'!F44&gt;=0,IF('Input Responden'!F44=0,1,'Input Responden'!F44),1/ABS('Input Responden'!F44))</f>
        <v>5</v>
      </c>
      <c r="G485" s="12">
        <f>AVERAGE(B485/B$489,C485/C$489,D485/D$489,E485/E$489)</f>
        <v>0.52643247955747952</v>
      </c>
      <c r="H485" s="11">
        <f>B485*$G$485+C485*$G$486+D485*$G$487+E485*$G$488</f>
        <v>2.6203628547378548</v>
      </c>
      <c r="I485" s="11">
        <f>H485/G485</f>
        <v>4.9775858376757807</v>
      </c>
    </row>
    <row r="486" spans="1:9" x14ac:dyDescent="0.3">
      <c r="A486" s="10" t="s">
        <v>59</v>
      </c>
      <c r="B486" s="11">
        <f>1/C485</f>
        <v>0.25</v>
      </c>
      <c r="C486" s="11">
        <v>1</v>
      </c>
      <c r="D486" s="11">
        <f>IF('Input Responden'!G44&gt;=0,IF('Input Responden'!G44=0,1,'Input Responden'!G44),1/ABS('Input Responden'!G44))</f>
        <v>5</v>
      </c>
      <c r="E486" s="11">
        <f>IF('Input Responden'!H44&gt;=0,IF('Input Responden'!H44=0,1,'Input Responden'!H44),1/ABS('Input Responden'!H44))</f>
        <v>5</v>
      </c>
      <c r="G486" s="12">
        <f>AVERAGE(B486/B$489,C486/C$489,D486/D$489,E486/E$489)</f>
        <v>0.27390722703222703</v>
      </c>
      <c r="H486" s="11">
        <f>B486*$G$485+C486*$G$486+D486*$G$487+E486*$G$488</f>
        <v>1.403816813973064</v>
      </c>
      <c r="I486" s="11">
        <f>H486/G486</f>
        <v>5.1251543421594183</v>
      </c>
    </row>
    <row r="487" spans="1:9" x14ac:dyDescent="0.3">
      <c r="A487" s="10" t="s">
        <v>60</v>
      </c>
      <c r="B487" s="11">
        <f>1/D485</f>
        <v>0.2</v>
      </c>
      <c r="C487" s="11">
        <f>1/D486</f>
        <v>0.2</v>
      </c>
      <c r="D487" s="11">
        <v>1</v>
      </c>
      <c r="E487" s="11">
        <f>IF('Input Responden'!I44&gt;=0,IF('Input Responden'!I44=0,1,'Input Responden'!I44),1/ABS('Input Responden'!I44))</f>
        <v>5</v>
      </c>
      <c r="G487" s="12">
        <f>AVERAGE(B487/B$489,C487/C$489,D487/D$489,E487/E$489)</f>
        <v>0.14000871813371812</v>
      </c>
      <c r="H487" s="11">
        <f>B487*$G$485+C487*$G$486+D487*$G$487+E487*$G$488</f>
        <v>0.59833453583453577</v>
      </c>
      <c r="I487" s="11">
        <f>H487/G487</f>
        <v>4.2735519888346127</v>
      </c>
    </row>
    <row r="488" spans="1:9" x14ac:dyDescent="0.3">
      <c r="A488" s="10" t="s">
        <v>61</v>
      </c>
      <c r="B488" s="11">
        <f>1/E485</f>
        <v>0.2</v>
      </c>
      <c r="C488" s="11">
        <f>1/E486</f>
        <v>0.2</v>
      </c>
      <c r="D488" s="11">
        <f>1/E487</f>
        <v>0.2</v>
      </c>
      <c r="E488" s="11">
        <v>1</v>
      </c>
      <c r="G488" s="12">
        <f>AVERAGE(B488/B$489,C488/C$489,D488/D$489,E488/E$489)</f>
        <v>5.9651575276575275E-2</v>
      </c>
      <c r="H488" s="11">
        <f>B488*$G$485+C488*$G$486+D488*$G$487+E488*$G$488</f>
        <v>0.24772126022126023</v>
      </c>
      <c r="I488" s="11">
        <f>H488/G488</f>
        <v>4.1528033261937765</v>
      </c>
    </row>
    <row r="489" spans="1:9" x14ac:dyDescent="0.3">
      <c r="A489" s="13" t="s">
        <v>65</v>
      </c>
      <c r="B489" s="11">
        <f>SUM(B485:B488)</f>
        <v>1.65</v>
      </c>
      <c r="C489" s="11">
        <f>SUM(C485:C488)</f>
        <v>5.4</v>
      </c>
      <c r="D489" s="11">
        <f>SUM(D485:D488)</f>
        <v>11.2</v>
      </c>
      <c r="E489" s="11">
        <f>SUM(E485:E488)</f>
        <v>16</v>
      </c>
    </row>
    <row r="490" spans="1:9" x14ac:dyDescent="0.3">
      <c r="A490" s="1" t="s">
        <v>66</v>
      </c>
      <c r="G490" s="12">
        <f>AVERAGE(I485:I488)</f>
        <v>4.6322738737158966</v>
      </c>
    </row>
    <row r="491" spans="1:9" x14ac:dyDescent="0.3">
      <c r="A491" s="1" t="s">
        <v>67</v>
      </c>
      <c r="G491" s="12">
        <f>(G490-4)/(4-1)</f>
        <v>0.21075795790529886</v>
      </c>
    </row>
    <row r="492" spans="1:9" x14ac:dyDescent="0.3">
      <c r="A492" s="29" t="s">
        <v>68</v>
      </c>
      <c r="B492" s="29"/>
      <c r="C492" s="29"/>
      <c r="D492" s="29"/>
      <c r="G492" s="14">
        <f>G491/0.9</f>
        <v>0.23417550878366539</v>
      </c>
    </row>
    <row r="493" spans="1:9" ht="41.4" x14ac:dyDescent="0.3">
      <c r="A493" s="1" t="s">
        <v>69</v>
      </c>
      <c r="G493" s="15" t="str">
        <f>IF('Input Responden'!B44="","Belum diisi",IF(G492&lt;=0.1,"Konsisten - dipakai","Tidak Konsisten - dikecualikan"))</f>
        <v>Tidak Konsisten - dikecualikan</v>
      </c>
    </row>
    <row r="495" spans="1:9" x14ac:dyDescent="0.3">
      <c r="A495" s="9" t="s">
        <v>110</v>
      </c>
      <c r="B495" s="28" t="str">
        <f>'Input Responden'!B45</f>
        <v>SLAMET HADI PURNOMO</v>
      </c>
      <c r="C495" s="28"/>
      <c r="D495" s="28"/>
    </row>
    <row r="496" spans="1:9" x14ac:dyDescent="0.3">
      <c r="A496" s="10"/>
      <c r="B496" s="10" t="s">
        <v>58</v>
      </c>
      <c r="C496" s="10" t="s">
        <v>59</v>
      </c>
      <c r="D496" s="10" t="s">
        <v>60</v>
      </c>
      <c r="E496" s="10" t="s">
        <v>61</v>
      </c>
      <c r="F496" s="10"/>
      <c r="G496" s="10" t="s">
        <v>62</v>
      </c>
      <c r="H496" s="10" t="s">
        <v>63</v>
      </c>
      <c r="I496" s="10" t="s">
        <v>64</v>
      </c>
    </row>
    <row r="497" spans="1:9" x14ac:dyDescent="0.3">
      <c r="A497" s="10" t="s">
        <v>58</v>
      </c>
      <c r="B497" s="11">
        <v>1</v>
      </c>
      <c r="C497" s="11">
        <f>IF('Input Responden'!D45&gt;=0,IF('Input Responden'!D45=0,1,'Input Responden'!D45),1/ABS('Input Responden'!D45))</f>
        <v>0.2</v>
      </c>
      <c r="D497" s="11">
        <f>IF('Input Responden'!E45&gt;=0,IF('Input Responden'!E45=0,1,'Input Responden'!E45),1/ABS('Input Responden'!E45))</f>
        <v>0.25</v>
      </c>
      <c r="E497" s="11">
        <f>IF('Input Responden'!F45&gt;=0,IF('Input Responden'!F45=0,1,'Input Responden'!F45),1/ABS('Input Responden'!F45))</f>
        <v>0.25</v>
      </c>
      <c r="G497" s="12">
        <f>AVERAGE(B497/B$501,C497/C$501,D497/D$501,E497/E$501)</f>
        <v>6.4352620893318571E-2</v>
      </c>
      <c r="H497" s="11">
        <f>B497*$G$497+C497*$G$498+D497*$G$499+E497*$G$500</f>
        <v>0.27074220191952753</v>
      </c>
      <c r="I497" s="11">
        <f>H497/G497</f>
        <v>4.2071666726418817</v>
      </c>
    </row>
    <row r="498" spans="1:9" x14ac:dyDescent="0.3">
      <c r="A498" s="10" t="s">
        <v>59</v>
      </c>
      <c r="B498" s="11">
        <f>1/C497</f>
        <v>5</v>
      </c>
      <c r="C498" s="11">
        <v>1</v>
      </c>
      <c r="D498" s="11">
        <f>IF('Input Responden'!G45&gt;=0,IF('Input Responden'!G45=0,1,'Input Responden'!G45),1/ABS('Input Responden'!G45))</f>
        <v>5</v>
      </c>
      <c r="E498" s="11">
        <f>IF('Input Responden'!H45&gt;=0,IF('Input Responden'!H45=0,1,'Input Responden'!H45),1/ABS('Input Responden'!H45))</f>
        <v>5</v>
      </c>
      <c r="G498" s="12">
        <f>AVERAGE(B498/B$501,C498/C$501,D498/D$501,E498/E$501)</f>
        <v>0.55044527500922857</v>
      </c>
      <c r="H498" s="11">
        <f>B498*$G$497+C498*$G$498+D498*$G$499+E498*$G$500</f>
        <v>2.7982188999630857</v>
      </c>
      <c r="I498" s="11">
        <f>H498/G498</f>
        <v>5.0835551271035468</v>
      </c>
    </row>
    <row r="499" spans="1:9" x14ac:dyDescent="0.3">
      <c r="A499" s="10" t="s">
        <v>60</v>
      </c>
      <c r="B499" s="11">
        <f>1/D497</f>
        <v>4</v>
      </c>
      <c r="C499" s="11">
        <f>1/D498</f>
        <v>0.2</v>
      </c>
      <c r="D499" s="11">
        <v>1</v>
      </c>
      <c r="E499" s="11">
        <f>IF('Input Responden'!I45&gt;=0,IF('Input Responden'!I45=0,1,'Input Responden'!I45),1/ABS('Input Responden'!I45))</f>
        <v>5</v>
      </c>
      <c r="G499" s="12">
        <f>AVERAGE(B499/B$501,C499/C$501,D499/D$501,E499/E$501)</f>
        <v>0.25254937246216314</v>
      </c>
      <c r="H499" s="11">
        <f>B499*$G$497+C499*$G$498+D499*$G$499+E499*$G$500</f>
        <v>1.2833125692137319</v>
      </c>
      <c r="I499" s="11">
        <f>H499/G499</f>
        <v>5.0814324213218836</v>
      </c>
    </row>
    <row r="500" spans="1:9" x14ac:dyDescent="0.3">
      <c r="A500" s="10" t="s">
        <v>61</v>
      </c>
      <c r="B500" s="11">
        <f>1/E497</f>
        <v>4</v>
      </c>
      <c r="C500" s="11">
        <f>1/E498</f>
        <v>0.2</v>
      </c>
      <c r="D500" s="11">
        <f>1/E499</f>
        <v>0.2</v>
      </c>
      <c r="E500" s="11">
        <v>1</v>
      </c>
      <c r="G500" s="12">
        <f>AVERAGE(B500/B$501,C500/C$501,D500/D$501,E500/E$501)</f>
        <v>0.13265273163528976</v>
      </c>
      <c r="H500" s="11">
        <f>B500*$G$497+C500*$G$498+D500*$G$499+E500*$G$500</f>
        <v>0.55066214470284247</v>
      </c>
      <c r="I500" s="11">
        <f>H500/G500</f>
        <v>4.1511557124719562</v>
      </c>
    </row>
    <row r="501" spans="1:9" x14ac:dyDescent="0.3">
      <c r="A501" s="13" t="s">
        <v>65</v>
      </c>
      <c r="B501" s="11">
        <f>SUM(B497:B500)</f>
        <v>14</v>
      </c>
      <c r="C501" s="11">
        <f>SUM(C497:C500)</f>
        <v>1.5999999999999999</v>
      </c>
      <c r="D501" s="11">
        <f>SUM(D497:D500)</f>
        <v>6.45</v>
      </c>
      <c r="E501" s="11">
        <f>SUM(E497:E500)</f>
        <v>11.25</v>
      </c>
    </row>
    <row r="502" spans="1:9" x14ac:dyDescent="0.3">
      <c r="A502" s="1" t="s">
        <v>66</v>
      </c>
      <c r="G502" s="12">
        <f>AVERAGE(I497:I500)</f>
        <v>4.6308274833848166</v>
      </c>
    </row>
    <row r="503" spans="1:9" x14ac:dyDescent="0.3">
      <c r="A503" s="1" t="s">
        <v>67</v>
      </c>
      <c r="G503" s="12">
        <f>(G502-4)/(4-1)</f>
        <v>0.21027582779493889</v>
      </c>
    </row>
    <row r="504" spans="1:9" x14ac:dyDescent="0.3">
      <c r="A504" s="29" t="s">
        <v>68</v>
      </c>
      <c r="B504" s="29"/>
      <c r="C504" s="29"/>
      <c r="D504" s="29"/>
      <c r="G504" s="14">
        <f>G503/0.9</f>
        <v>0.2336398086610432</v>
      </c>
    </row>
    <row r="505" spans="1:9" ht="41.4" x14ac:dyDescent="0.3">
      <c r="A505" s="1" t="s">
        <v>69</v>
      </c>
      <c r="G505" s="15" t="str">
        <f>IF('Input Responden'!B45="","Belum diisi",IF(G504&lt;=0.1,"Konsisten - dipakai","Tidak Konsisten - dikecualikan"))</f>
        <v>Tidak Konsisten - dikecualikan</v>
      </c>
    </row>
    <row r="507" spans="1:9" x14ac:dyDescent="0.3">
      <c r="A507" s="9" t="s">
        <v>111</v>
      </c>
      <c r="B507" s="28" t="str">
        <f>'Input Responden'!B46</f>
        <v>Muhamad Afandli</v>
      </c>
      <c r="C507" s="28"/>
      <c r="D507" s="28"/>
    </row>
    <row r="508" spans="1:9" x14ac:dyDescent="0.3">
      <c r="A508" s="10"/>
      <c r="B508" s="10" t="s">
        <v>58</v>
      </c>
      <c r="C508" s="10" t="s">
        <v>59</v>
      </c>
      <c r="D508" s="10" t="s">
        <v>60</v>
      </c>
      <c r="E508" s="10" t="s">
        <v>61</v>
      </c>
      <c r="F508" s="10"/>
      <c r="G508" s="10" t="s">
        <v>62</v>
      </c>
      <c r="H508" s="10" t="s">
        <v>63</v>
      </c>
      <c r="I508" s="10" t="s">
        <v>64</v>
      </c>
    </row>
    <row r="509" spans="1:9" x14ac:dyDescent="0.3">
      <c r="A509" s="10" t="s">
        <v>58</v>
      </c>
      <c r="B509" s="11">
        <v>1</v>
      </c>
      <c r="C509" s="11">
        <f>IF('Input Responden'!D46&gt;=0,IF('Input Responden'!D46=0,1,'Input Responden'!D46),1/ABS('Input Responden'!D46))</f>
        <v>1</v>
      </c>
      <c r="D509" s="11">
        <f>IF('Input Responden'!E46&gt;=0,IF('Input Responden'!E46=0,1,'Input Responden'!E46),1/ABS('Input Responden'!E46))</f>
        <v>1</v>
      </c>
      <c r="E509" s="11">
        <f>IF('Input Responden'!F46&gt;=0,IF('Input Responden'!F46=0,1,'Input Responden'!F46),1/ABS('Input Responden'!F46))</f>
        <v>4</v>
      </c>
      <c r="G509" s="12">
        <f>AVERAGE(B509/B$513,C509/C$513,D509/D$513,E509/E$513)</f>
        <v>0.28247863247863247</v>
      </c>
      <c r="H509" s="11">
        <f>B509*$G$509+C509*$G$510+D509*$G$511+E509*$G$512</f>
        <v>1.1910256410256408</v>
      </c>
      <c r="I509" s="11">
        <f>H509/G509</f>
        <v>4.2163388804841144</v>
      </c>
    </row>
    <row r="510" spans="1:9" x14ac:dyDescent="0.3">
      <c r="A510" s="10" t="s">
        <v>59</v>
      </c>
      <c r="B510" s="11">
        <f>1/C509</f>
        <v>1</v>
      </c>
      <c r="C510" s="11">
        <v>1</v>
      </c>
      <c r="D510" s="11">
        <f>IF('Input Responden'!G46&gt;=0,IF('Input Responden'!G46=0,1,'Input Responden'!G46),1/ABS('Input Responden'!G46))</f>
        <v>5</v>
      </c>
      <c r="E510" s="11">
        <f>IF('Input Responden'!H46&gt;=0,IF('Input Responden'!H46=0,1,'Input Responden'!H46),1/ABS('Input Responden'!H46))</f>
        <v>5</v>
      </c>
      <c r="G510" s="12">
        <f>AVERAGE(B510/B$513,C510/C$513,D510/D$513,E510/E$513)</f>
        <v>0.43803418803418798</v>
      </c>
      <c r="H510" s="11">
        <f>B510*$G$509+C510*$G$510+D510*$G$511+E510*$G$512</f>
        <v>2.117948717948718</v>
      </c>
      <c r="I510" s="11">
        <f>H510/G510</f>
        <v>4.8351219512195129</v>
      </c>
    </row>
    <row r="511" spans="1:9" x14ac:dyDescent="0.3">
      <c r="A511" s="10" t="s">
        <v>60</v>
      </c>
      <c r="B511" s="11">
        <f>1/D509</f>
        <v>1</v>
      </c>
      <c r="C511" s="11">
        <f>1/D510</f>
        <v>0.2</v>
      </c>
      <c r="D511" s="11">
        <v>1</v>
      </c>
      <c r="E511" s="11">
        <f>IF('Input Responden'!I46&gt;=0,IF('Input Responden'!I46=0,1,'Input Responden'!I46),1/ABS('Input Responden'!I46))</f>
        <v>5</v>
      </c>
      <c r="G511" s="12">
        <f>AVERAGE(B511/B$513,C511/C$513,D511/D$513,E511/E$513)</f>
        <v>0.21581196581196582</v>
      </c>
      <c r="H511" s="11">
        <f>B511*$G$509+C511*$G$510+D511*$G$511+E511*$G$512</f>
        <v>0.90427350427350428</v>
      </c>
      <c r="I511" s="11">
        <f>H511/G511</f>
        <v>4.1900990099009903</v>
      </c>
    </row>
    <row r="512" spans="1:9" x14ac:dyDescent="0.3">
      <c r="A512" s="10" t="s">
        <v>61</v>
      </c>
      <c r="B512" s="11">
        <f>1/E509</f>
        <v>0.25</v>
      </c>
      <c r="C512" s="11">
        <f>1/E510</f>
        <v>0.2</v>
      </c>
      <c r="D512" s="11">
        <f>1/E511</f>
        <v>0.2</v>
      </c>
      <c r="E512" s="11">
        <v>1</v>
      </c>
      <c r="G512" s="12">
        <f>AVERAGE(B512/B$513,C512/C$513,D512/D$513,E512/E$513)</f>
        <v>6.3675213675213671E-2</v>
      </c>
      <c r="H512" s="11">
        <f>B512*$G$509+C512*$G$510+D512*$G$511+E512*$G$512</f>
        <v>0.26506410256410257</v>
      </c>
      <c r="I512" s="11">
        <f>H512/G512</f>
        <v>4.1627516778523495</v>
      </c>
    </row>
    <row r="513" spans="1:9" x14ac:dyDescent="0.3">
      <c r="A513" s="13" t="s">
        <v>65</v>
      </c>
      <c r="B513" s="11">
        <f>SUM(B509:B512)</f>
        <v>3.25</v>
      </c>
      <c r="C513" s="11">
        <f>SUM(C509:C512)</f>
        <v>2.4000000000000004</v>
      </c>
      <c r="D513" s="11">
        <f>SUM(D509:D512)</f>
        <v>7.2</v>
      </c>
      <c r="E513" s="11">
        <f>SUM(E509:E512)</f>
        <v>15</v>
      </c>
    </row>
    <row r="514" spans="1:9" x14ac:dyDescent="0.3">
      <c r="A514" s="1" t="s">
        <v>66</v>
      </c>
      <c r="G514" s="12">
        <f>AVERAGE(I509:I512)</f>
        <v>4.351077879864242</v>
      </c>
    </row>
    <row r="515" spans="1:9" x14ac:dyDescent="0.3">
      <c r="A515" s="1" t="s">
        <v>67</v>
      </c>
      <c r="G515" s="12">
        <f>(G514-4)/(4-1)</f>
        <v>0.11702595995474734</v>
      </c>
    </row>
    <row r="516" spans="1:9" x14ac:dyDescent="0.3">
      <c r="A516" s="29" t="s">
        <v>68</v>
      </c>
      <c r="B516" s="29"/>
      <c r="C516" s="29"/>
      <c r="D516" s="29"/>
      <c r="G516" s="14">
        <f>G515/0.9</f>
        <v>0.13002884439416371</v>
      </c>
    </row>
    <row r="517" spans="1:9" ht="41.4" x14ac:dyDescent="0.3">
      <c r="A517" s="1" t="s">
        <v>69</v>
      </c>
      <c r="G517" s="15" t="str">
        <f>IF('Input Responden'!B46="","Belum diisi",IF(G516&lt;=0.1,"Konsisten - dipakai","Tidak Konsisten - dikecualikan"))</f>
        <v>Tidak Konsisten - dikecualikan</v>
      </c>
    </row>
    <row r="519" spans="1:9" x14ac:dyDescent="0.3">
      <c r="A519" s="9" t="s">
        <v>112</v>
      </c>
      <c r="B519" s="28" t="str">
        <f>'Input Responden'!B47</f>
        <v>Muh Fajriansyah</v>
      </c>
      <c r="C519" s="28"/>
      <c r="D519" s="28"/>
    </row>
    <row r="520" spans="1:9" x14ac:dyDescent="0.3">
      <c r="A520" s="10"/>
      <c r="B520" s="10" t="s">
        <v>58</v>
      </c>
      <c r="C520" s="10" t="s">
        <v>59</v>
      </c>
      <c r="D520" s="10" t="s">
        <v>60</v>
      </c>
      <c r="E520" s="10" t="s">
        <v>61</v>
      </c>
      <c r="F520" s="10"/>
      <c r="G520" s="10" t="s">
        <v>62</v>
      </c>
      <c r="H520" s="10" t="s">
        <v>63</v>
      </c>
      <c r="I520" s="10" t="s">
        <v>64</v>
      </c>
    </row>
    <row r="521" spans="1:9" x14ac:dyDescent="0.3">
      <c r="A521" s="10" t="s">
        <v>58</v>
      </c>
      <c r="B521" s="11">
        <v>1</v>
      </c>
      <c r="C521" s="11">
        <f>IF('Input Responden'!D47&gt;=0,IF('Input Responden'!D47=0,1,'Input Responden'!D47),1/ABS('Input Responden'!D47))</f>
        <v>0.2</v>
      </c>
      <c r="D521" s="11">
        <f>IF('Input Responden'!E47&gt;=0,IF('Input Responden'!E47=0,1,'Input Responden'!E47),1/ABS('Input Responden'!E47))</f>
        <v>0.2</v>
      </c>
      <c r="E521" s="11">
        <f>IF('Input Responden'!F47&gt;=0,IF('Input Responden'!F47=0,1,'Input Responden'!F47),1/ABS('Input Responden'!F47))</f>
        <v>0.2</v>
      </c>
      <c r="G521" s="12">
        <f>AVERAGE(B521/B$525,C521/C$525,D521/D$525,E521/E$525)</f>
        <v>5.9151785714285712E-2</v>
      </c>
      <c r="H521" s="11">
        <f>B521*$G$521+C521*$G$522+D521*$G$523+E521*$G$524</f>
        <v>0.24732142857142858</v>
      </c>
      <c r="I521" s="11">
        <f>H521/G521</f>
        <v>4.1811320754716981</v>
      </c>
    </row>
    <row r="522" spans="1:9" x14ac:dyDescent="0.3">
      <c r="A522" s="10" t="s">
        <v>59</v>
      </c>
      <c r="B522" s="11">
        <f>1/C521</f>
        <v>5</v>
      </c>
      <c r="C522" s="11">
        <v>1</v>
      </c>
      <c r="D522" s="11">
        <f>IF('Input Responden'!G47&gt;=0,IF('Input Responden'!G47=0,1,'Input Responden'!G47),1/ABS('Input Responden'!G47))</f>
        <v>0.2</v>
      </c>
      <c r="E522" s="11">
        <f>IF('Input Responden'!H47&gt;=0,IF('Input Responden'!H47=0,1,'Input Responden'!H47),1/ABS('Input Responden'!H47))</f>
        <v>0.2</v>
      </c>
      <c r="G522" s="12">
        <f>AVERAGE(B522/B$525,C522/C$525,D522/D$525,E522/E$525)</f>
        <v>0.13950892857142858</v>
      </c>
      <c r="H522" s="11">
        <f>B522*$G$521+C522*$G$522+D522*$G$523+E522*$G$524</f>
        <v>0.59553571428571428</v>
      </c>
      <c r="I522" s="11">
        <f>H522/G522</f>
        <v>4.2687999999999997</v>
      </c>
    </row>
    <row r="523" spans="1:9" x14ac:dyDescent="0.3">
      <c r="A523" s="10" t="s">
        <v>60</v>
      </c>
      <c r="B523" s="11">
        <f>1/D521</f>
        <v>5</v>
      </c>
      <c r="C523" s="11">
        <f>1/D522</f>
        <v>5</v>
      </c>
      <c r="D523" s="11">
        <v>1</v>
      </c>
      <c r="E523" s="11">
        <f>IF('Input Responden'!I47&gt;=0,IF('Input Responden'!I47=0,1,'Input Responden'!I47),1/ABS('Input Responden'!I47))</f>
        <v>0.2</v>
      </c>
      <c r="G523" s="12">
        <f>AVERAGE(B523/B$525,C523/C$525,D523/D$525,E523/E$525)</f>
        <v>0.26004464285714285</v>
      </c>
      <c r="H523" s="11">
        <f>B523*$G$521+C523*$G$522+D523*$G$523+E523*$G$524</f>
        <v>1.3616071428571428</v>
      </c>
      <c r="I523" s="11">
        <f>H523/G523</f>
        <v>5.2360515021459229</v>
      </c>
    </row>
    <row r="524" spans="1:9" x14ac:dyDescent="0.3">
      <c r="A524" s="10" t="s">
        <v>61</v>
      </c>
      <c r="B524" s="11">
        <f>1/E521</f>
        <v>5</v>
      </c>
      <c r="C524" s="11">
        <f>1/E522</f>
        <v>5</v>
      </c>
      <c r="D524" s="11">
        <f>1/E523</f>
        <v>5</v>
      </c>
      <c r="E524" s="11">
        <v>1</v>
      </c>
      <c r="G524" s="12">
        <f>AVERAGE(B524/B$525,C524/C$525,D524/D$525,E524/E$525)</f>
        <v>0.54129464285714279</v>
      </c>
      <c r="H524" s="11">
        <f>B524*$G$521+C524*$G$522+D524*$G$523+E524*$G$524</f>
        <v>2.8348214285714284</v>
      </c>
      <c r="I524" s="11">
        <f>H524/G524</f>
        <v>5.2371134020618557</v>
      </c>
    </row>
    <row r="525" spans="1:9" x14ac:dyDescent="0.3">
      <c r="A525" s="13" t="s">
        <v>65</v>
      </c>
      <c r="B525" s="11">
        <f>SUM(B521:B524)</f>
        <v>16</v>
      </c>
      <c r="C525" s="11">
        <f>SUM(C521:C524)</f>
        <v>11.2</v>
      </c>
      <c r="D525" s="11">
        <f>SUM(D521:D524)</f>
        <v>6.4</v>
      </c>
      <c r="E525" s="11">
        <f>SUM(E521:E524)</f>
        <v>1.6</v>
      </c>
    </row>
    <row r="526" spans="1:9" x14ac:dyDescent="0.3">
      <c r="A526" s="1" t="s">
        <v>66</v>
      </c>
      <c r="G526" s="12">
        <f>AVERAGE(I521:I524)</f>
        <v>4.7307742449198686</v>
      </c>
    </row>
    <row r="527" spans="1:9" x14ac:dyDescent="0.3">
      <c r="A527" s="1" t="s">
        <v>67</v>
      </c>
      <c r="G527" s="12">
        <f>(G526-4)/(4-1)</f>
        <v>0.24359141497328954</v>
      </c>
    </row>
    <row r="528" spans="1:9" x14ac:dyDescent="0.3">
      <c r="A528" s="29" t="s">
        <v>68</v>
      </c>
      <c r="B528" s="29"/>
      <c r="C528" s="29"/>
      <c r="D528" s="29"/>
      <c r="G528" s="14">
        <f>G527/0.9</f>
        <v>0.27065712774809947</v>
      </c>
    </row>
    <row r="529" spans="1:9" ht="41.4" x14ac:dyDescent="0.3">
      <c r="A529" s="1" t="s">
        <v>69</v>
      </c>
      <c r="G529" s="15" t="str">
        <f>IF('Input Responden'!B47="","Belum diisi",IF(G528&lt;=0.1,"Konsisten - dipakai","Tidak Konsisten - dikecualikan"))</f>
        <v>Tidak Konsisten - dikecualikan</v>
      </c>
    </row>
    <row r="531" spans="1:9" x14ac:dyDescent="0.3">
      <c r="A531" s="9" t="s">
        <v>113</v>
      </c>
      <c r="B531" s="28" t="str">
        <f>'Input Responden'!B48</f>
        <v>AHMAD YANI FAHMI FIRDAUS</v>
      </c>
      <c r="C531" s="28"/>
      <c r="D531" s="28"/>
    </row>
    <row r="532" spans="1:9" x14ac:dyDescent="0.3">
      <c r="A532" s="10"/>
      <c r="B532" s="10" t="s">
        <v>58</v>
      </c>
      <c r="C532" s="10" t="s">
        <v>59</v>
      </c>
      <c r="D532" s="10" t="s">
        <v>60</v>
      </c>
      <c r="E532" s="10" t="s">
        <v>61</v>
      </c>
      <c r="F532" s="10"/>
      <c r="G532" s="10" t="s">
        <v>62</v>
      </c>
      <c r="H532" s="10" t="s">
        <v>63</v>
      </c>
      <c r="I532" s="10" t="s">
        <v>64</v>
      </c>
    </row>
    <row r="533" spans="1:9" x14ac:dyDescent="0.3">
      <c r="A533" s="10" t="s">
        <v>58</v>
      </c>
      <c r="B533" s="11">
        <v>1</v>
      </c>
      <c r="C533" s="11">
        <f>IF('Input Responden'!D48&gt;=0,IF('Input Responden'!D48=0,1,'Input Responden'!D48),1/ABS('Input Responden'!D48))</f>
        <v>0.25</v>
      </c>
      <c r="D533" s="11">
        <f>IF('Input Responden'!E48&gt;=0,IF('Input Responden'!E48=0,1,'Input Responden'!E48),1/ABS('Input Responden'!E48))</f>
        <v>0.33333333333333331</v>
      </c>
      <c r="E533" s="11">
        <f>IF('Input Responden'!F48&gt;=0,IF('Input Responden'!F48=0,1,'Input Responden'!F48),1/ABS('Input Responden'!F48))</f>
        <v>1</v>
      </c>
      <c r="G533" s="12">
        <f>AVERAGE(B533/B$537,C533/C$537,D533/D$537,E533/E$537)</f>
        <v>0.134508547008547</v>
      </c>
      <c r="H533" s="11">
        <f>B533*$G$533+C533*$G$534+D533*$G$535+E533*$G$536</f>
        <v>0.55734508547008543</v>
      </c>
      <c r="I533" s="11">
        <f>H533/G533</f>
        <v>4.1435663224781569</v>
      </c>
    </row>
    <row r="534" spans="1:9" x14ac:dyDescent="0.3">
      <c r="A534" s="10" t="s">
        <v>59</v>
      </c>
      <c r="B534" s="11">
        <f>1/C533</f>
        <v>4</v>
      </c>
      <c r="C534" s="11">
        <v>1</v>
      </c>
      <c r="D534" s="11">
        <f>IF('Input Responden'!G48&gt;=0,IF('Input Responden'!G48=0,1,'Input Responden'!G48),1/ABS('Input Responden'!G48))</f>
        <v>1</v>
      </c>
      <c r="E534" s="11">
        <f>IF('Input Responden'!H48&gt;=0,IF('Input Responden'!H48=0,1,'Input Responden'!H48),1/ABS('Input Responden'!H48))</f>
        <v>1</v>
      </c>
      <c r="G534" s="12">
        <f>AVERAGE(B534/B$537,C534/C$537,D534/D$537,E534/E$537)</f>
        <v>0.32553418803418804</v>
      </c>
      <c r="H534" s="11">
        <f>B534*$G$533+C534*$G$534+D534*$G$535+E534*$G$536</f>
        <v>1.4035256410256411</v>
      </c>
      <c r="I534" s="11">
        <f>H534/G534</f>
        <v>4.3114538890712177</v>
      </c>
    </row>
    <row r="535" spans="1:9" x14ac:dyDescent="0.3">
      <c r="A535" s="10" t="s">
        <v>60</v>
      </c>
      <c r="B535" s="11">
        <f>1/D533</f>
        <v>3</v>
      </c>
      <c r="C535" s="11">
        <f>1/D534</f>
        <v>1</v>
      </c>
      <c r="D535" s="11">
        <v>1</v>
      </c>
      <c r="E535" s="11">
        <f>IF('Input Responden'!I48&gt;=0,IF('Input Responden'!I48=0,1,'Input Responden'!I48),1/ABS('Input Responden'!I48))</f>
        <v>1</v>
      </c>
      <c r="G535" s="12">
        <f>AVERAGE(B535/B$537,C535/C$537,D535/D$537,E535/E$537)</f>
        <v>0.29775641025641025</v>
      </c>
      <c r="H535" s="11">
        <f>B535*$G$533+C535*$G$534+D535*$G$535+E535*$G$536</f>
        <v>1.2690170940170942</v>
      </c>
      <c r="I535" s="11">
        <f>H535/G535</f>
        <v>4.2619303911015436</v>
      </c>
    </row>
    <row r="536" spans="1:9" x14ac:dyDescent="0.3">
      <c r="A536" s="10" t="s">
        <v>61</v>
      </c>
      <c r="B536" s="11">
        <f>1/E533</f>
        <v>1</v>
      </c>
      <c r="C536" s="11">
        <f>1/E534</f>
        <v>1</v>
      </c>
      <c r="D536" s="11">
        <f>1/E535</f>
        <v>1</v>
      </c>
      <c r="E536" s="11">
        <v>1</v>
      </c>
      <c r="G536" s="12">
        <f>AVERAGE(B536/B$537,C536/C$537,D536/D$537,E536/E$537)</f>
        <v>0.24220085470085473</v>
      </c>
      <c r="H536" s="11">
        <f>B536*$G$533+C536*$G$534+D536*$G$535+E536*$G$536</f>
        <v>1</v>
      </c>
      <c r="I536" s="11">
        <f>H536/G536</f>
        <v>4.1288045875606523</v>
      </c>
    </row>
    <row r="537" spans="1:9" x14ac:dyDescent="0.3">
      <c r="A537" s="13" t="s">
        <v>65</v>
      </c>
      <c r="B537" s="11">
        <f>SUM(B533:B536)</f>
        <v>9</v>
      </c>
      <c r="C537" s="11">
        <f>SUM(C533:C536)</f>
        <v>3.25</v>
      </c>
      <c r="D537" s="11">
        <f>SUM(D533:D536)</f>
        <v>3.333333333333333</v>
      </c>
      <c r="E537" s="11">
        <f>SUM(E533:E536)</f>
        <v>4</v>
      </c>
    </row>
    <row r="538" spans="1:9" x14ac:dyDescent="0.3">
      <c r="A538" s="1" t="s">
        <v>66</v>
      </c>
      <c r="G538" s="12">
        <f>AVERAGE(I533:I536)</f>
        <v>4.2114387975528924</v>
      </c>
    </row>
    <row r="539" spans="1:9" x14ac:dyDescent="0.3">
      <c r="A539" s="1" t="s">
        <v>67</v>
      </c>
      <c r="G539" s="12">
        <f>(G538-4)/(4-1)</f>
        <v>7.047959918429747E-2</v>
      </c>
    </row>
    <row r="540" spans="1:9" x14ac:dyDescent="0.3">
      <c r="A540" s="29" t="s">
        <v>68</v>
      </c>
      <c r="B540" s="29"/>
      <c r="C540" s="29"/>
      <c r="D540" s="29"/>
      <c r="G540" s="14">
        <f>G539/0.9</f>
        <v>7.8310665760330522E-2</v>
      </c>
    </row>
    <row r="541" spans="1:9" ht="27.6" x14ac:dyDescent="0.3">
      <c r="A541" s="1" t="s">
        <v>69</v>
      </c>
      <c r="G541" s="15" t="str">
        <f>IF('Input Responden'!B48="","Belum diisi",IF(G540&lt;=0.1,"Konsisten - dipakai","Tidak Konsisten - dikecualikan"))</f>
        <v>Konsisten - dipakai</v>
      </c>
    </row>
    <row r="543" spans="1:9" x14ac:dyDescent="0.3">
      <c r="A543" s="9" t="s">
        <v>114</v>
      </c>
      <c r="B543" s="28" t="str">
        <f>'Input Responden'!B49</f>
        <v>ANDI GUNAWAN</v>
      </c>
      <c r="C543" s="28"/>
      <c r="D543" s="28"/>
    </row>
    <row r="544" spans="1:9" x14ac:dyDescent="0.3">
      <c r="A544" s="10"/>
      <c r="B544" s="10" t="s">
        <v>58</v>
      </c>
      <c r="C544" s="10" t="s">
        <v>59</v>
      </c>
      <c r="D544" s="10" t="s">
        <v>60</v>
      </c>
      <c r="E544" s="10" t="s">
        <v>61</v>
      </c>
      <c r="F544" s="10"/>
      <c r="G544" s="10" t="s">
        <v>62</v>
      </c>
      <c r="H544" s="10" t="s">
        <v>63</v>
      </c>
      <c r="I544" s="10" t="s">
        <v>64</v>
      </c>
    </row>
    <row r="545" spans="1:9" x14ac:dyDescent="0.3">
      <c r="A545" s="10" t="s">
        <v>58</v>
      </c>
      <c r="B545" s="11">
        <v>1</v>
      </c>
      <c r="C545" s="11">
        <f>IF('Input Responden'!D49&gt;=0,IF('Input Responden'!D49=0,1,'Input Responden'!D49),1/ABS('Input Responden'!D49))</f>
        <v>2</v>
      </c>
      <c r="D545" s="11">
        <f>IF('Input Responden'!E49&gt;=0,IF('Input Responden'!E49=0,1,'Input Responden'!E49),1/ABS('Input Responden'!E49))</f>
        <v>4</v>
      </c>
      <c r="E545" s="11">
        <f>IF('Input Responden'!F49&gt;=0,IF('Input Responden'!F49=0,1,'Input Responden'!F49),1/ABS('Input Responden'!F49))</f>
        <v>5</v>
      </c>
      <c r="G545" s="12">
        <f>AVERAGE(B545/B$549,C545/C$549,D545/D$549,E545/E$549)</f>
        <v>0.4676981810617159</v>
      </c>
      <c r="H545" s="11">
        <f>B545*$G$545+C545*$G$546+D545*$G$547+E545*$G$548</f>
        <v>2.2600513717400621</v>
      </c>
      <c r="I545" s="11">
        <f>H545/G545</f>
        <v>4.8322859982254949</v>
      </c>
    </row>
    <row r="546" spans="1:9" x14ac:dyDescent="0.3">
      <c r="A546" s="10" t="s">
        <v>59</v>
      </c>
      <c r="B546" s="11">
        <f>1/C545</f>
        <v>0.5</v>
      </c>
      <c r="C546" s="11">
        <v>1</v>
      </c>
      <c r="D546" s="11">
        <f>IF('Input Responden'!G49&gt;=0,IF('Input Responden'!G49=0,1,'Input Responden'!G49),1/ABS('Input Responden'!G49))</f>
        <v>0.33333333333333331</v>
      </c>
      <c r="E546" s="11">
        <f>IF('Input Responden'!H49&gt;=0,IF('Input Responden'!H49=0,1,'Input Responden'!H49),1/ABS('Input Responden'!H49))</f>
        <v>5</v>
      </c>
      <c r="G546" s="12">
        <f>AVERAGE(B546/B$549,C546/C$549,D546/D$549,E546/E$549)</f>
        <v>0.19761038571158082</v>
      </c>
      <c r="H546" s="11">
        <f>B546*$G$545+C546*$G$546+D546*$G$547+E546*$G$548</f>
        <v>0.81540115694373849</v>
      </c>
      <c r="I546" s="11">
        <f>H546/G546</f>
        <v>4.1263071979113723</v>
      </c>
    </row>
    <row r="547" spans="1:9" x14ac:dyDescent="0.3">
      <c r="A547" s="10" t="s">
        <v>60</v>
      </c>
      <c r="B547" s="11">
        <f>1/D545</f>
        <v>0.25</v>
      </c>
      <c r="C547" s="11">
        <f>1/D546</f>
        <v>3</v>
      </c>
      <c r="D547" s="11">
        <v>1</v>
      </c>
      <c r="E547" s="11">
        <f>IF('Input Responden'!I49&gt;=0,IF('Input Responden'!I49=0,1,'Input Responden'!I49),1/ABS('Input Responden'!I49))</f>
        <v>5</v>
      </c>
      <c r="G547" s="12">
        <f>AVERAGE(B547/B$549,C547/C$549,D547/D$549,E547/E$549)</f>
        <v>0.27632474687833219</v>
      </c>
      <c r="H547" s="11">
        <f>B547*$G$545+C547*$G$546+D547*$G$547+E547*$G$548</f>
        <v>1.2779138810203594</v>
      </c>
      <c r="I547" s="11">
        <f>H547/G547</f>
        <v>4.6246812688949435</v>
      </c>
    </row>
    <row r="548" spans="1:9" x14ac:dyDescent="0.3">
      <c r="A548" s="10" t="s">
        <v>61</v>
      </c>
      <c r="B548" s="11">
        <f>1/E545</f>
        <v>0.2</v>
      </c>
      <c r="C548" s="11">
        <f>1/E546</f>
        <v>0.2</v>
      </c>
      <c r="D548" s="11">
        <f>1/E547</f>
        <v>0.2</v>
      </c>
      <c r="E548" s="11">
        <v>1</v>
      </c>
      <c r="G548" s="12">
        <f>AVERAGE(B548/B$549,C548/C$549,D548/D$549,E548/E$549)</f>
        <v>5.8366686348371152E-2</v>
      </c>
      <c r="H548" s="11">
        <f>B548*$G$545+C548*$G$546+D548*$G$547+E548*$G$548</f>
        <v>0.24669334907869694</v>
      </c>
      <c r="I548" s="11">
        <f>H548/G548</f>
        <v>4.226612208311213</v>
      </c>
    </row>
    <row r="549" spans="1:9" x14ac:dyDescent="0.3">
      <c r="A549" s="13" t="s">
        <v>65</v>
      </c>
      <c r="B549" s="11">
        <f>SUM(B545:B548)</f>
        <v>1.95</v>
      </c>
      <c r="C549" s="11">
        <f>SUM(C545:C548)</f>
        <v>6.2</v>
      </c>
      <c r="D549" s="11">
        <f>SUM(D545:D548)</f>
        <v>5.5333333333333332</v>
      </c>
      <c r="E549" s="11">
        <f>SUM(E545:E548)</f>
        <v>16</v>
      </c>
    </row>
    <row r="550" spans="1:9" x14ac:dyDescent="0.3">
      <c r="A550" s="1" t="s">
        <v>66</v>
      </c>
      <c r="G550" s="12">
        <f>AVERAGE(I545:I548)</f>
        <v>4.4524716683357557</v>
      </c>
    </row>
    <row r="551" spans="1:9" x14ac:dyDescent="0.3">
      <c r="A551" s="1" t="s">
        <v>67</v>
      </c>
      <c r="G551" s="12">
        <f>(G550-4)/(4-1)</f>
        <v>0.15082388944525191</v>
      </c>
    </row>
    <row r="552" spans="1:9" x14ac:dyDescent="0.3">
      <c r="A552" s="29" t="s">
        <v>68</v>
      </c>
      <c r="B552" s="29"/>
      <c r="C552" s="29"/>
      <c r="D552" s="29"/>
      <c r="G552" s="14">
        <f>G551/0.9</f>
        <v>0.16758209938361324</v>
      </c>
    </row>
    <row r="553" spans="1:9" ht="41.4" x14ac:dyDescent="0.3">
      <c r="A553" s="1" t="s">
        <v>69</v>
      </c>
      <c r="G553" s="15" t="str">
        <f>IF('Input Responden'!B49="","Belum diisi",IF(G552&lt;=0.1,"Konsisten - dipakai","Tidak Konsisten - dikecualikan"))</f>
        <v>Tidak Konsisten - dikecualikan</v>
      </c>
    </row>
    <row r="555" spans="1:9" x14ac:dyDescent="0.3">
      <c r="A555" s="9" t="s">
        <v>115</v>
      </c>
      <c r="B555" s="28" t="str">
        <f>'Input Responden'!B50</f>
        <v xml:space="preserve">PT.AKASYAH KARYA SAMUDRA </v>
      </c>
      <c r="C555" s="28"/>
      <c r="D555" s="28"/>
    </row>
    <row r="556" spans="1:9" x14ac:dyDescent="0.3">
      <c r="A556" s="10"/>
      <c r="B556" s="10" t="s">
        <v>58</v>
      </c>
      <c r="C556" s="10" t="s">
        <v>59</v>
      </c>
      <c r="D556" s="10" t="s">
        <v>60</v>
      </c>
      <c r="E556" s="10" t="s">
        <v>61</v>
      </c>
      <c r="F556" s="10"/>
      <c r="G556" s="10" t="s">
        <v>62</v>
      </c>
      <c r="H556" s="10" t="s">
        <v>63</v>
      </c>
      <c r="I556" s="10" t="s">
        <v>64</v>
      </c>
    </row>
    <row r="557" spans="1:9" x14ac:dyDescent="0.3">
      <c r="A557" s="10" t="s">
        <v>58</v>
      </c>
      <c r="B557" s="11">
        <v>1</v>
      </c>
      <c r="C557" s="11">
        <f>IF('Input Responden'!D50&gt;=0,IF('Input Responden'!D50=0,1,'Input Responden'!D50),1/ABS('Input Responden'!D50))</f>
        <v>1</v>
      </c>
      <c r="D557" s="11">
        <f>IF('Input Responden'!E50&gt;=0,IF('Input Responden'!E50=0,1,'Input Responden'!E50),1/ABS('Input Responden'!E50))</f>
        <v>1</v>
      </c>
      <c r="E557" s="11">
        <f>IF('Input Responden'!F50&gt;=0,IF('Input Responden'!F50=0,1,'Input Responden'!F50),1/ABS('Input Responden'!F50))</f>
        <v>1</v>
      </c>
      <c r="G557" s="12">
        <f>AVERAGE(B557/B$561,C557/C$561,D557/D$561,E557/E$561)</f>
        <v>0.25</v>
      </c>
      <c r="H557" s="11">
        <f>B557*$G$557+C557*$G$558+D557*$G$559+E557*$G$560</f>
        <v>1</v>
      </c>
      <c r="I557" s="11">
        <f>H557/G557</f>
        <v>4</v>
      </c>
    </row>
    <row r="558" spans="1:9" x14ac:dyDescent="0.3">
      <c r="A558" s="10" t="s">
        <v>59</v>
      </c>
      <c r="B558" s="11">
        <f>1/C557</f>
        <v>1</v>
      </c>
      <c r="C558" s="11">
        <v>1</v>
      </c>
      <c r="D558" s="11">
        <f>IF('Input Responden'!G50&gt;=0,IF('Input Responden'!G50=0,1,'Input Responden'!G50),1/ABS('Input Responden'!G50))</f>
        <v>1</v>
      </c>
      <c r="E558" s="11">
        <f>IF('Input Responden'!H50&gt;=0,IF('Input Responden'!H50=0,1,'Input Responden'!H50),1/ABS('Input Responden'!H50))</f>
        <v>1</v>
      </c>
      <c r="G558" s="12">
        <f>AVERAGE(B558/B$561,C558/C$561,D558/D$561,E558/E$561)</f>
        <v>0.25</v>
      </c>
      <c r="H558" s="11">
        <f>B558*$G$557+C558*$G$558+D558*$G$559+E558*$G$560</f>
        <v>1</v>
      </c>
      <c r="I558" s="11">
        <f>H558/G558</f>
        <v>4</v>
      </c>
    </row>
    <row r="559" spans="1:9" x14ac:dyDescent="0.3">
      <c r="A559" s="10" t="s">
        <v>60</v>
      </c>
      <c r="B559" s="11">
        <f>1/D557</f>
        <v>1</v>
      </c>
      <c r="C559" s="11">
        <f>1/D558</f>
        <v>1</v>
      </c>
      <c r="D559" s="11">
        <v>1</v>
      </c>
      <c r="E559" s="11">
        <f>IF('Input Responden'!I50&gt;=0,IF('Input Responden'!I50=0,1,'Input Responden'!I50),1/ABS('Input Responden'!I50))</f>
        <v>1</v>
      </c>
      <c r="G559" s="12">
        <f>AVERAGE(B559/B$561,C559/C$561,D559/D$561,E559/E$561)</f>
        <v>0.25</v>
      </c>
      <c r="H559" s="11">
        <f>B559*$G$557+C559*$G$558+D559*$G$559+E559*$G$560</f>
        <v>1</v>
      </c>
      <c r="I559" s="11">
        <f>H559/G559</f>
        <v>4</v>
      </c>
    </row>
    <row r="560" spans="1:9" x14ac:dyDescent="0.3">
      <c r="A560" s="10" t="s">
        <v>61</v>
      </c>
      <c r="B560" s="11">
        <f>1/E557</f>
        <v>1</v>
      </c>
      <c r="C560" s="11">
        <f>1/E558</f>
        <v>1</v>
      </c>
      <c r="D560" s="11">
        <f>1/E559</f>
        <v>1</v>
      </c>
      <c r="E560" s="11">
        <v>1</v>
      </c>
      <c r="G560" s="12">
        <f>AVERAGE(B560/B$561,C560/C$561,D560/D$561,E560/E$561)</f>
        <v>0.25</v>
      </c>
      <c r="H560" s="11">
        <f>B560*$G$557+C560*$G$558+D560*$G$559+E560*$G$560</f>
        <v>1</v>
      </c>
      <c r="I560" s="11">
        <f>H560/G560</f>
        <v>4</v>
      </c>
    </row>
    <row r="561" spans="1:9" x14ac:dyDescent="0.3">
      <c r="A561" s="13" t="s">
        <v>65</v>
      </c>
      <c r="B561" s="11">
        <f>SUM(B557:B560)</f>
        <v>4</v>
      </c>
      <c r="C561" s="11">
        <f>SUM(C557:C560)</f>
        <v>4</v>
      </c>
      <c r="D561" s="11">
        <f>SUM(D557:D560)</f>
        <v>4</v>
      </c>
      <c r="E561" s="11">
        <f>SUM(E557:E560)</f>
        <v>4</v>
      </c>
    </row>
    <row r="562" spans="1:9" x14ac:dyDescent="0.3">
      <c r="A562" s="1" t="s">
        <v>66</v>
      </c>
      <c r="G562" s="12">
        <f>AVERAGE(I557:I560)</f>
        <v>4</v>
      </c>
    </row>
    <row r="563" spans="1:9" x14ac:dyDescent="0.3">
      <c r="A563" s="1" t="s">
        <v>67</v>
      </c>
      <c r="G563" s="12">
        <f>(G562-4)/(4-1)</f>
        <v>0</v>
      </c>
    </row>
    <row r="564" spans="1:9" x14ac:dyDescent="0.3">
      <c r="A564" s="29" t="s">
        <v>68</v>
      </c>
      <c r="B564" s="29"/>
      <c r="C564" s="29"/>
      <c r="D564" s="29"/>
      <c r="G564" s="14">
        <f>G563/0.9</f>
        <v>0</v>
      </c>
    </row>
    <row r="565" spans="1:9" ht="27.6" x14ac:dyDescent="0.3">
      <c r="A565" s="1" t="s">
        <v>69</v>
      </c>
      <c r="G565" s="15" t="str">
        <f>IF('Input Responden'!B50="","Belum diisi",IF(G564&lt;=0.1,"Konsisten - dipakai","Tidak Konsisten - dikecualikan"))</f>
        <v>Konsisten - dipakai</v>
      </c>
    </row>
    <row r="567" spans="1:9" x14ac:dyDescent="0.3">
      <c r="A567" s="9" t="s">
        <v>116</v>
      </c>
      <c r="B567" s="28" t="str">
        <f>'Input Responden'!B51</f>
        <v>Faris</v>
      </c>
      <c r="C567" s="28"/>
      <c r="D567" s="28"/>
    </row>
    <row r="568" spans="1:9" x14ac:dyDescent="0.3">
      <c r="A568" s="10"/>
      <c r="B568" s="10" t="s">
        <v>58</v>
      </c>
      <c r="C568" s="10" t="s">
        <v>59</v>
      </c>
      <c r="D568" s="10" t="s">
        <v>60</v>
      </c>
      <c r="E568" s="10" t="s">
        <v>61</v>
      </c>
      <c r="F568" s="10"/>
      <c r="G568" s="10" t="s">
        <v>62</v>
      </c>
      <c r="H568" s="10" t="s">
        <v>63</v>
      </c>
      <c r="I568" s="10" t="s">
        <v>64</v>
      </c>
    </row>
    <row r="569" spans="1:9" x14ac:dyDescent="0.3">
      <c r="A569" s="10" t="s">
        <v>58</v>
      </c>
      <c r="B569" s="11">
        <v>1</v>
      </c>
      <c r="C569" s="11">
        <f>IF('Input Responden'!D51&gt;=0,IF('Input Responden'!D51=0,1,'Input Responden'!D51),1/ABS('Input Responden'!D51))</f>
        <v>5</v>
      </c>
      <c r="D569" s="11">
        <f>IF('Input Responden'!E51&gt;=0,IF('Input Responden'!E51=0,1,'Input Responden'!E51),1/ABS('Input Responden'!E51))</f>
        <v>5</v>
      </c>
      <c r="E569" s="11">
        <f>IF('Input Responden'!F51&gt;=0,IF('Input Responden'!F51=0,1,'Input Responden'!F51),1/ABS('Input Responden'!F51))</f>
        <v>5</v>
      </c>
      <c r="G569" s="12">
        <f>AVERAGE(B569/B$573,C569/C$573,D569/D$573,E569/E$573)</f>
        <v>0.54129464285714279</v>
      </c>
      <c r="H569" s="11">
        <f>B569*$G$569+C569*$G$570+D569*$G$571+E569*$G$572</f>
        <v>2.8348214285714288</v>
      </c>
      <c r="I569" s="11">
        <f>H569/G569</f>
        <v>5.2371134020618566</v>
      </c>
    </row>
    <row r="570" spans="1:9" x14ac:dyDescent="0.3">
      <c r="A570" s="10" t="s">
        <v>59</v>
      </c>
      <c r="B570" s="11">
        <f>1/C569</f>
        <v>0.2</v>
      </c>
      <c r="C570" s="11">
        <v>1</v>
      </c>
      <c r="D570" s="11">
        <f>IF('Input Responden'!G51&gt;=0,IF('Input Responden'!G51=0,1,'Input Responden'!G51),1/ABS('Input Responden'!G51))</f>
        <v>5</v>
      </c>
      <c r="E570" s="11">
        <f>IF('Input Responden'!H51&gt;=0,IF('Input Responden'!H51=0,1,'Input Responden'!H51),1/ABS('Input Responden'!H51))</f>
        <v>5</v>
      </c>
      <c r="G570" s="12">
        <f>AVERAGE(B570/B$573,C570/C$573,D570/D$573,E570/E$573)</f>
        <v>0.26004464285714285</v>
      </c>
      <c r="H570" s="11">
        <f>B570*$G$569+C570*$G$570+D570*$G$571+E570*$G$572</f>
        <v>1.361607142857143</v>
      </c>
      <c r="I570" s="11">
        <f>H570/G570</f>
        <v>5.2360515021459237</v>
      </c>
    </row>
    <row r="571" spans="1:9" x14ac:dyDescent="0.3">
      <c r="A571" s="10" t="s">
        <v>60</v>
      </c>
      <c r="B571" s="11">
        <f>1/D569</f>
        <v>0.2</v>
      </c>
      <c r="C571" s="11">
        <f>1/D570</f>
        <v>0.2</v>
      </c>
      <c r="D571" s="11">
        <v>1</v>
      </c>
      <c r="E571" s="11">
        <f>IF('Input Responden'!I51&gt;=0,IF('Input Responden'!I51=0,1,'Input Responden'!I51),1/ABS('Input Responden'!I51))</f>
        <v>5</v>
      </c>
      <c r="G571" s="12">
        <f>AVERAGE(B571/B$573,C571/C$573,D571/D$573,E571/E$573)</f>
        <v>0.13950892857142858</v>
      </c>
      <c r="H571" s="11">
        <f>B571*$G$569+C571*$G$570+D571*$G$571+E571*$G$572</f>
        <v>0.59553571428571428</v>
      </c>
      <c r="I571" s="11">
        <f>H571/G571</f>
        <v>4.2687999999999997</v>
      </c>
    </row>
    <row r="572" spans="1:9" x14ac:dyDescent="0.3">
      <c r="A572" s="10" t="s">
        <v>61</v>
      </c>
      <c r="B572" s="11">
        <f>1/E569</f>
        <v>0.2</v>
      </c>
      <c r="C572" s="11">
        <f>1/E570</f>
        <v>0.2</v>
      </c>
      <c r="D572" s="11">
        <f>1/E571</f>
        <v>0.2</v>
      </c>
      <c r="E572" s="11">
        <v>1</v>
      </c>
      <c r="G572" s="12">
        <f>AVERAGE(B572/B$573,C572/C$573,D572/D$573,E572/E$573)</f>
        <v>5.9151785714285719E-2</v>
      </c>
      <c r="H572" s="11">
        <f>B572*$G$569+C572*$G$570+D572*$G$571+E572*$G$572</f>
        <v>0.24732142857142858</v>
      </c>
      <c r="I572" s="11">
        <f>H572/G572</f>
        <v>4.1811320754716981</v>
      </c>
    </row>
    <row r="573" spans="1:9" x14ac:dyDescent="0.3">
      <c r="A573" s="13" t="s">
        <v>65</v>
      </c>
      <c r="B573" s="11">
        <f>SUM(B569:B572)</f>
        <v>1.5999999999999999</v>
      </c>
      <c r="C573" s="11">
        <f>SUM(C569:C572)</f>
        <v>6.4</v>
      </c>
      <c r="D573" s="11">
        <f>SUM(D569:D572)</f>
        <v>11.2</v>
      </c>
      <c r="E573" s="11">
        <f>SUM(E569:E572)</f>
        <v>16</v>
      </c>
    </row>
    <row r="574" spans="1:9" x14ac:dyDescent="0.3">
      <c r="A574" s="1" t="s">
        <v>66</v>
      </c>
      <c r="G574" s="12">
        <f>AVERAGE(I569:I572)</f>
        <v>4.7307742449198695</v>
      </c>
    </row>
    <row r="575" spans="1:9" x14ac:dyDescent="0.3">
      <c r="A575" s="1" t="s">
        <v>67</v>
      </c>
      <c r="G575" s="12">
        <f>(G574-4)/(4-1)</f>
        <v>0.24359141497328984</v>
      </c>
    </row>
    <row r="576" spans="1:9" x14ac:dyDescent="0.3">
      <c r="A576" s="29" t="s">
        <v>68</v>
      </c>
      <c r="B576" s="29"/>
      <c r="C576" s="29"/>
      <c r="D576" s="29"/>
      <c r="G576" s="14">
        <f>G575/0.9</f>
        <v>0.2706571277480998</v>
      </c>
    </row>
    <row r="577" spans="1:9" ht="41.4" x14ac:dyDescent="0.3">
      <c r="A577" s="1" t="s">
        <v>69</v>
      </c>
      <c r="G577" s="15" t="str">
        <f>IF('Input Responden'!B51="","Belum diisi",IF(G576&lt;=0.1,"Konsisten - dipakai","Tidak Konsisten - dikecualikan"))</f>
        <v>Tidak Konsisten - dikecualikan</v>
      </c>
    </row>
    <row r="579" spans="1:9" x14ac:dyDescent="0.3">
      <c r="A579" s="9" t="s">
        <v>117</v>
      </c>
      <c r="B579" s="28" t="str">
        <f>'Input Responden'!B52</f>
        <v xml:space="preserve">WAHYU </v>
      </c>
      <c r="C579" s="28"/>
      <c r="D579" s="28"/>
    </row>
    <row r="580" spans="1:9" x14ac:dyDescent="0.3">
      <c r="A580" s="10"/>
      <c r="B580" s="10" t="s">
        <v>58</v>
      </c>
      <c r="C580" s="10" t="s">
        <v>59</v>
      </c>
      <c r="D580" s="10" t="s">
        <v>60</v>
      </c>
      <c r="E580" s="10" t="s">
        <v>61</v>
      </c>
      <c r="F580" s="10"/>
      <c r="G580" s="10" t="s">
        <v>62</v>
      </c>
      <c r="H580" s="10" t="s">
        <v>63</v>
      </c>
      <c r="I580" s="10" t="s">
        <v>64</v>
      </c>
    </row>
    <row r="581" spans="1:9" x14ac:dyDescent="0.3">
      <c r="A581" s="10" t="s">
        <v>58</v>
      </c>
      <c r="B581" s="11">
        <v>1</v>
      </c>
      <c r="C581" s="11">
        <f>IF('Input Responden'!D52&gt;=0,IF('Input Responden'!D52=0,1,'Input Responden'!D52),1/ABS('Input Responden'!D52))</f>
        <v>5</v>
      </c>
      <c r="D581" s="11">
        <f>IF('Input Responden'!E52&gt;=0,IF('Input Responden'!E52=0,1,'Input Responden'!E52),1/ABS('Input Responden'!E52))</f>
        <v>5</v>
      </c>
      <c r="E581" s="11">
        <f>IF('Input Responden'!F52&gt;=0,IF('Input Responden'!F52=0,1,'Input Responden'!F52),1/ABS('Input Responden'!F52))</f>
        <v>5</v>
      </c>
      <c r="G581" s="12">
        <f>AVERAGE(B581/B$585,C581/C$585,D581/D$585,E581/E$585)</f>
        <v>0.54129464285714279</v>
      </c>
      <c r="H581" s="11">
        <f>B581*$G$581+C581*$G$582+D581*$G$583+E581*$G$584</f>
        <v>2.8348214285714288</v>
      </c>
      <c r="I581" s="11">
        <f>H581/G581</f>
        <v>5.2371134020618566</v>
      </c>
    </row>
    <row r="582" spans="1:9" x14ac:dyDescent="0.3">
      <c r="A582" s="10" t="s">
        <v>59</v>
      </c>
      <c r="B582" s="11">
        <f>1/C581</f>
        <v>0.2</v>
      </c>
      <c r="C582" s="11">
        <v>1</v>
      </c>
      <c r="D582" s="11">
        <f>IF('Input Responden'!G52&gt;=0,IF('Input Responden'!G52=0,1,'Input Responden'!G52),1/ABS('Input Responden'!G52))</f>
        <v>5</v>
      </c>
      <c r="E582" s="11">
        <f>IF('Input Responden'!H52&gt;=0,IF('Input Responden'!H52=0,1,'Input Responden'!H52),1/ABS('Input Responden'!H52))</f>
        <v>5</v>
      </c>
      <c r="G582" s="12">
        <f>AVERAGE(B582/B$585,C582/C$585,D582/D$585,E582/E$585)</f>
        <v>0.26004464285714285</v>
      </c>
      <c r="H582" s="11">
        <f>B582*$G$581+C582*$G$582+D582*$G$583+E582*$G$584</f>
        <v>1.361607142857143</v>
      </c>
      <c r="I582" s="11">
        <f>H582/G582</f>
        <v>5.2360515021459237</v>
      </c>
    </row>
    <row r="583" spans="1:9" x14ac:dyDescent="0.3">
      <c r="A583" s="10" t="s">
        <v>60</v>
      </c>
      <c r="B583" s="11">
        <f>1/D581</f>
        <v>0.2</v>
      </c>
      <c r="C583" s="11">
        <f>1/D582</f>
        <v>0.2</v>
      </c>
      <c r="D583" s="11">
        <v>1</v>
      </c>
      <c r="E583" s="11">
        <f>IF('Input Responden'!I52&gt;=0,IF('Input Responden'!I52=0,1,'Input Responden'!I52),1/ABS('Input Responden'!I52))</f>
        <v>5</v>
      </c>
      <c r="G583" s="12">
        <f>AVERAGE(B583/B$585,C583/C$585,D583/D$585,E583/E$585)</f>
        <v>0.13950892857142858</v>
      </c>
      <c r="H583" s="11">
        <f>B583*$G$581+C583*$G$582+D583*$G$583+E583*$G$584</f>
        <v>0.59553571428571428</v>
      </c>
      <c r="I583" s="11">
        <f>H583/G583</f>
        <v>4.2687999999999997</v>
      </c>
    </row>
    <row r="584" spans="1:9" x14ac:dyDescent="0.3">
      <c r="A584" s="10" t="s">
        <v>61</v>
      </c>
      <c r="B584" s="11">
        <f>1/E581</f>
        <v>0.2</v>
      </c>
      <c r="C584" s="11">
        <f>1/E582</f>
        <v>0.2</v>
      </c>
      <c r="D584" s="11">
        <f>1/E583</f>
        <v>0.2</v>
      </c>
      <c r="E584" s="11">
        <v>1</v>
      </c>
      <c r="G584" s="12">
        <f>AVERAGE(B584/B$585,C584/C$585,D584/D$585,E584/E$585)</f>
        <v>5.9151785714285719E-2</v>
      </c>
      <c r="H584" s="11">
        <f>B584*$G$581+C584*$G$582+D584*$G$583+E584*$G$584</f>
        <v>0.24732142857142858</v>
      </c>
      <c r="I584" s="11">
        <f>H584/G584</f>
        <v>4.1811320754716981</v>
      </c>
    </row>
    <row r="585" spans="1:9" x14ac:dyDescent="0.3">
      <c r="A585" s="13" t="s">
        <v>65</v>
      </c>
      <c r="B585" s="11">
        <f>SUM(B581:B584)</f>
        <v>1.5999999999999999</v>
      </c>
      <c r="C585" s="11">
        <f>SUM(C581:C584)</f>
        <v>6.4</v>
      </c>
      <c r="D585" s="11">
        <f>SUM(D581:D584)</f>
        <v>11.2</v>
      </c>
      <c r="E585" s="11">
        <f>SUM(E581:E584)</f>
        <v>16</v>
      </c>
    </row>
    <row r="586" spans="1:9" x14ac:dyDescent="0.3">
      <c r="A586" s="1" t="s">
        <v>66</v>
      </c>
      <c r="G586" s="12">
        <f>AVERAGE(I581:I584)</f>
        <v>4.7307742449198695</v>
      </c>
    </row>
    <row r="587" spans="1:9" x14ac:dyDescent="0.3">
      <c r="A587" s="1" t="s">
        <v>67</v>
      </c>
      <c r="G587" s="12">
        <f>(G586-4)/(4-1)</f>
        <v>0.24359141497328984</v>
      </c>
    </row>
    <row r="588" spans="1:9" x14ac:dyDescent="0.3">
      <c r="A588" s="29" t="s">
        <v>68</v>
      </c>
      <c r="B588" s="29"/>
      <c r="C588" s="29"/>
      <c r="D588" s="29"/>
      <c r="G588" s="14">
        <f>G587/0.9</f>
        <v>0.2706571277480998</v>
      </c>
    </row>
    <row r="589" spans="1:9" ht="41.4" x14ac:dyDescent="0.3">
      <c r="A589" s="1" t="s">
        <v>69</v>
      </c>
      <c r="G589" s="15" t="str">
        <f>IF('Input Responden'!B52="","Belum diisi",IF(G588&lt;=0.1,"Konsisten - dipakai","Tidak Konsisten - dikecualikan"))</f>
        <v>Tidak Konsisten - dikecualikan</v>
      </c>
    </row>
    <row r="591" spans="1:9" x14ac:dyDescent="0.3">
      <c r="A591" s="9" t="s">
        <v>118</v>
      </c>
      <c r="B591" s="28" t="str">
        <f>'Input Responden'!B53</f>
        <v>Supandi</v>
      </c>
      <c r="C591" s="28"/>
      <c r="D591" s="28"/>
    </row>
    <row r="592" spans="1:9" x14ac:dyDescent="0.3">
      <c r="A592" s="10"/>
      <c r="B592" s="10" t="s">
        <v>58</v>
      </c>
      <c r="C592" s="10" t="s">
        <v>59</v>
      </c>
      <c r="D592" s="10" t="s">
        <v>60</v>
      </c>
      <c r="E592" s="10" t="s">
        <v>61</v>
      </c>
      <c r="F592" s="10"/>
      <c r="G592" s="10" t="s">
        <v>62</v>
      </c>
      <c r="H592" s="10" t="s">
        <v>63</v>
      </c>
      <c r="I592" s="10" t="s">
        <v>64</v>
      </c>
    </row>
    <row r="593" spans="1:9" x14ac:dyDescent="0.3">
      <c r="A593" s="10" t="s">
        <v>58</v>
      </c>
      <c r="B593" s="11">
        <v>1</v>
      </c>
      <c r="C593" s="11">
        <f>IF('Input Responden'!D53&gt;=0,IF('Input Responden'!D53=0,1,'Input Responden'!D53),1/ABS('Input Responden'!D53))</f>
        <v>5</v>
      </c>
      <c r="D593" s="11">
        <f>IF('Input Responden'!E53&gt;=0,IF('Input Responden'!E53=0,1,'Input Responden'!E53),1/ABS('Input Responden'!E53))</f>
        <v>5</v>
      </c>
      <c r="E593" s="11">
        <f>IF('Input Responden'!F53&gt;=0,IF('Input Responden'!F53=0,1,'Input Responden'!F53),1/ABS('Input Responden'!F53))</f>
        <v>5</v>
      </c>
      <c r="G593" s="12">
        <f>AVERAGE(B593/B$597,C593/C$597,D593/D$597,E593/E$597)</f>
        <v>0.54129464285714279</v>
      </c>
      <c r="H593" s="11">
        <f>B593*$G$593+C593*$G$594+D593*$G$595+E593*$G$596</f>
        <v>2.8348214285714288</v>
      </c>
      <c r="I593" s="11">
        <f>H593/G593</f>
        <v>5.2371134020618566</v>
      </c>
    </row>
    <row r="594" spans="1:9" x14ac:dyDescent="0.3">
      <c r="A594" s="10" t="s">
        <v>59</v>
      </c>
      <c r="B594" s="11">
        <f>1/C593</f>
        <v>0.2</v>
      </c>
      <c r="C594" s="11">
        <v>1</v>
      </c>
      <c r="D594" s="11">
        <f>IF('Input Responden'!G53&gt;=0,IF('Input Responden'!G53=0,1,'Input Responden'!G53),1/ABS('Input Responden'!G53))</f>
        <v>5</v>
      </c>
      <c r="E594" s="11">
        <f>IF('Input Responden'!H53&gt;=0,IF('Input Responden'!H53=0,1,'Input Responden'!H53),1/ABS('Input Responden'!H53))</f>
        <v>5</v>
      </c>
      <c r="G594" s="12">
        <f>AVERAGE(B594/B$597,C594/C$597,D594/D$597,E594/E$597)</f>
        <v>0.26004464285714285</v>
      </c>
      <c r="H594" s="11">
        <f>B594*$G$593+C594*$G$594+D594*$G$595+E594*$G$596</f>
        <v>1.361607142857143</v>
      </c>
      <c r="I594" s="11">
        <f>H594/G594</f>
        <v>5.2360515021459237</v>
      </c>
    </row>
    <row r="595" spans="1:9" x14ac:dyDescent="0.3">
      <c r="A595" s="10" t="s">
        <v>60</v>
      </c>
      <c r="B595" s="11">
        <f>1/D593</f>
        <v>0.2</v>
      </c>
      <c r="C595" s="11">
        <f>1/D594</f>
        <v>0.2</v>
      </c>
      <c r="D595" s="11">
        <v>1</v>
      </c>
      <c r="E595" s="11">
        <f>IF('Input Responden'!I53&gt;=0,IF('Input Responden'!I53=0,1,'Input Responden'!I53),1/ABS('Input Responden'!I53))</f>
        <v>5</v>
      </c>
      <c r="G595" s="12">
        <f>AVERAGE(B595/B$597,C595/C$597,D595/D$597,E595/E$597)</f>
        <v>0.13950892857142858</v>
      </c>
      <c r="H595" s="11">
        <f>B595*$G$593+C595*$G$594+D595*$G$595+E595*$G$596</f>
        <v>0.59553571428571428</v>
      </c>
      <c r="I595" s="11">
        <f>H595/G595</f>
        <v>4.2687999999999997</v>
      </c>
    </row>
    <row r="596" spans="1:9" x14ac:dyDescent="0.3">
      <c r="A596" s="10" t="s">
        <v>61</v>
      </c>
      <c r="B596" s="11">
        <f>1/E593</f>
        <v>0.2</v>
      </c>
      <c r="C596" s="11">
        <f>1/E594</f>
        <v>0.2</v>
      </c>
      <c r="D596" s="11">
        <f>1/E595</f>
        <v>0.2</v>
      </c>
      <c r="E596" s="11">
        <v>1</v>
      </c>
      <c r="G596" s="12">
        <f>AVERAGE(B596/B$597,C596/C$597,D596/D$597,E596/E$597)</f>
        <v>5.9151785714285719E-2</v>
      </c>
      <c r="H596" s="11">
        <f>B596*$G$593+C596*$G$594+D596*$G$595+E596*$G$596</f>
        <v>0.24732142857142858</v>
      </c>
      <c r="I596" s="11">
        <f>H596/G596</f>
        <v>4.1811320754716981</v>
      </c>
    </row>
    <row r="597" spans="1:9" x14ac:dyDescent="0.3">
      <c r="A597" s="13" t="s">
        <v>65</v>
      </c>
      <c r="B597" s="11">
        <f>SUM(B593:B596)</f>
        <v>1.5999999999999999</v>
      </c>
      <c r="C597" s="11">
        <f>SUM(C593:C596)</f>
        <v>6.4</v>
      </c>
      <c r="D597" s="11">
        <f>SUM(D593:D596)</f>
        <v>11.2</v>
      </c>
      <c r="E597" s="11">
        <f>SUM(E593:E596)</f>
        <v>16</v>
      </c>
    </row>
    <row r="598" spans="1:9" x14ac:dyDescent="0.3">
      <c r="A598" s="1" t="s">
        <v>66</v>
      </c>
      <c r="G598" s="12">
        <f>AVERAGE(I593:I596)</f>
        <v>4.7307742449198695</v>
      </c>
    </row>
    <row r="599" spans="1:9" x14ac:dyDescent="0.3">
      <c r="A599" s="1" t="s">
        <v>67</v>
      </c>
      <c r="G599" s="12">
        <f>(G598-4)/(4-1)</f>
        <v>0.24359141497328984</v>
      </c>
    </row>
    <row r="600" spans="1:9" x14ac:dyDescent="0.3">
      <c r="A600" s="29" t="s">
        <v>68</v>
      </c>
      <c r="B600" s="29"/>
      <c r="C600" s="29"/>
      <c r="D600" s="29"/>
      <c r="G600" s="14">
        <f>G599/0.9</f>
        <v>0.2706571277480998</v>
      </c>
    </row>
    <row r="601" spans="1:9" ht="41.4" x14ac:dyDescent="0.3">
      <c r="A601" s="1" t="s">
        <v>69</v>
      </c>
      <c r="G601" s="15" t="str">
        <f>IF('Input Responden'!B53="","Belum diisi",IF(G600&lt;=0.1,"Konsisten - dipakai","Tidak Konsisten - dikecualikan"))</f>
        <v>Tidak Konsisten - dikecualikan</v>
      </c>
    </row>
    <row r="603" spans="1:9" x14ac:dyDescent="0.3">
      <c r="A603" s="9" t="s">
        <v>119</v>
      </c>
      <c r="B603" s="28" t="str">
        <f>'Input Responden'!B54</f>
        <v>DEDE TAMA</v>
      </c>
      <c r="C603" s="28"/>
      <c r="D603" s="28"/>
    </row>
    <row r="604" spans="1:9" x14ac:dyDescent="0.3">
      <c r="A604" s="10"/>
      <c r="B604" s="10" t="s">
        <v>58</v>
      </c>
      <c r="C604" s="10" t="s">
        <v>59</v>
      </c>
      <c r="D604" s="10" t="s">
        <v>60</v>
      </c>
      <c r="E604" s="10" t="s">
        <v>61</v>
      </c>
      <c r="F604" s="10"/>
      <c r="G604" s="10" t="s">
        <v>62</v>
      </c>
      <c r="H604" s="10" t="s">
        <v>63</v>
      </c>
      <c r="I604" s="10" t="s">
        <v>64</v>
      </c>
    </row>
    <row r="605" spans="1:9" x14ac:dyDescent="0.3">
      <c r="A605" s="10" t="s">
        <v>58</v>
      </c>
      <c r="B605" s="11">
        <v>1</v>
      </c>
      <c r="C605" s="11">
        <f>IF('Input Responden'!D54&gt;=0,IF('Input Responden'!D54=0,1,'Input Responden'!D54),1/ABS('Input Responden'!D54))</f>
        <v>4</v>
      </c>
      <c r="D605" s="11">
        <f>IF('Input Responden'!E54&gt;=0,IF('Input Responden'!E54=0,1,'Input Responden'!E54),1/ABS('Input Responden'!E54))</f>
        <v>4</v>
      </c>
      <c r="E605" s="11">
        <f>IF('Input Responden'!F54&gt;=0,IF('Input Responden'!F54=0,1,'Input Responden'!F54),1/ABS('Input Responden'!F54))</f>
        <v>4</v>
      </c>
      <c r="G605" s="12">
        <f>AVERAGE(B605/B$609,C605/C$609,D605/D$609,E605/E$609)</f>
        <v>0.50479954827780915</v>
      </c>
      <c r="H605" s="11">
        <f>B605*$G$605+C605*$G$606+D605*$G$607+E605*$G$608</f>
        <v>2.4856013551665725</v>
      </c>
      <c r="I605" s="11">
        <f>H605/G605</f>
        <v>4.9239373601789707</v>
      </c>
    </row>
    <row r="606" spans="1:9" x14ac:dyDescent="0.3">
      <c r="A606" s="10" t="s">
        <v>59</v>
      </c>
      <c r="B606" s="11">
        <f>1/C605</f>
        <v>0.25</v>
      </c>
      <c r="C606" s="11">
        <v>1</v>
      </c>
      <c r="D606" s="11">
        <f>IF('Input Responden'!G54&gt;=0,IF('Input Responden'!G54=0,1,'Input Responden'!G54),1/ABS('Input Responden'!G54))</f>
        <v>4</v>
      </c>
      <c r="E606" s="11">
        <f>IF('Input Responden'!H54&gt;=0,IF('Input Responden'!H54=0,1,'Input Responden'!H54),1/ABS('Input Responden'!H54))</f>
        <v>4</v>
      </c>
      <c r="G606" s="12">
        <f>AVERAGE(B606/B$609,C606/C$609,D606/D$609,E606/E$609)</f>
        <v>0.26129305477131565</v>
      </c>
      <c r="H606" s="11">
        <f>B606*$G$605+C606*$G$606+D606*$G$607+E606*$G$608</f>
        <v>1.3231225296442688</v>
      </c>
      <c r="I606" s="11">
        <f>H606/G606</f>
        <v>5.0637493246893568</v>
      </c>
    </row>
    <row r="607" spans="1:9" x14ac:dyDescent="0.3">
      <c r="A607" s="10" t="s">
        <v>60</v>
      </c>
      <c r="B607" s="11">
        <f>1/D605</f>
        <v>0.25</v>
      </c>
      <c r="C607" s="11">
        <f>1/D606</f>
        <v>0.25</v>
      </c>
      <c r="D607" s="11">
        <v>1</v>
      </c>
      <c r="E607" s="11">
        <f>IF('Input Responden'!I54&gt;=0,IF('Input Responden'!I54=0,1,'Input Responden'!I54),1/ABS('Input Responden'!I54))</f>
        <v>5</v>
      </c>
      <c r="G607" s="12">
        <f>AVERAGE(B607/B$609,C607/C$609,D607/D$609,E607/E$609)</f>
        <v>0.16353754940711462</v>
      </c>
      <c r="H607" s="11">
        <f>B607*$G$605+C607*$G$606+D607*$G$607+E607*$G$608</f>
        <v>0.70690993788819878</v>
      </c>
      <c r="I607" s="11">
        <f>H607/G607</f>
        <v>4.3226154510142427</v>
      </c>
    </row>
    <row r="608" spans="1:9" x14ac:dyDescent="0.3">
      <c r="A608" s="10" t="s">
        <v>61</v>
      </c>
      <c r="B608" s="11">
        <f>1/E605</f>
        <v>0.25</v>
      </c>
      <c r="C608" s="11">
        <f>1/E606</f>
        <v>0.25</v>
      </c>
      <c r="D608" s="11">
        <f>1/E607</f>
        <v>0.2</v>
      </c>
      <c r="E608" s="11">
        <v>1</v>
      </c>
      <c r="G608" s="12">
        <f>AVERAGE(B608/B$609,C608/C$609,D608/D$609,E608/E$609)</f>
        <v>7.0369847543760591E-2</v>
      </c>
      <c r="H608" s="11">
        <f>B608*$G$605+C608*$G$606+D608*$G$607+E608*$G$608</f>
        <v>0.29460050818746475</v>
      </c>
      <c r="I608" s="11">
        <f>H608/G608</f>
        <v>4.1864593781344039</v>
      </c>
    </row>
    <row r="609" spans="1:9" x14ac:dyDescent="0.3">
      <c r="A609" s="13" t="s">
        <v>65</v>
      </c>
      <c r="B609" s="11">
        <f>SUM(B605:B608)</f>
        <v>1.75</v>
      </c>
      <c r="C609" s="11">
        <f>SUM(C605:C608)</f>
        <v>5.5</v>
      </c>
      <c r="D609" s="11">
        <f>SUM(D605:D608)</f>
        <v>9.1999999999999993</v>
      </c>
      <c r="E609" s="11">
        <f>SUM(E605:E608)</f>
        <v>14</v>
      </c>
    </row>
    <row r="610" spans="1:9" x14ac:dyDescent="0.3">
      <c r="A610" s="1" t="s">
        <v>66</v>
      </c>
      <c r="G610" s="12">
        <f>AVERAGE(I605:I608)</f>
        <v>4.6241903785042435</v>
      </c>
    </row>
    <row r="611" spans="1:9" x14ac:dyDescent="0.3">
      <c r="A611" s="1" t="s">
        <v>67</v>
      </c>
      <c r="G611" s="12">
        <f>(G610-4)/(4-1)</f>
        <v>0.2080634595014145</v>
      </c>
    </row>
    <row r="612" spans="1:9" x14ac:dyDescent="0.3">
      <c r="A612" s="29" t="s">
        <v>68</v>
      </c>
      <c r="B612" s="29"/>
      <c r="C612" s="29"/>
      <c r="D612" s="29"/>
      <c r="G612" s="14">
        <f>G611/0.9</f>
        <v>0.23118162166823833</v>
      </c>
    </row>
    <row r="613" spans="1:9" ht="41.4" x14ac:dyDescent="0.3">
      <c r="A613" s="1" t="s">
        <v>69</v>
      </c>
      <c r="G613" s="15" t="str">
        <f>IF('Input Responden'!B54="","Belum diisi",IF(G612&lt;=0.1,"Konsisten - dipakai","Tidak Konsisten - dikecualikan"))</f>
        <v>Tidak Konsisten - dikecualikan</v>
      </c>
    </row>
    <row r="615" spans="1:9" x14ac:dyDescent="0.3">
      <c r="A615" s="9" t="s">
        <v>120</v>
      </c>
      <c r="B615" s="28" t="str">
        <f>'Input Responden'!B55</f>
        <v xml:space="preserve">Indra </v>
      </c>
      <c r="C615" s="28"/>
      <c r="D615" s="28"/>
    </row>
    <row r="616" spans="1:9" x14ac:dyDescent="0.3">
      <c r="A616" s="10"/>
      <c r="B616" s="10" t="s">
        <v>58</v>
      </c>
      <c r="C616" s="10" t="s">
        <v>59</v>
      </c>
      <c r="D616" s="10" t="s">
        <v>60</v>
      </c>
      <c r="E616" s="10" t="s">
        <v>61</v>
      </c>
      <c r="F616" s="10"/>
      <c r="G616" s="10" t="s">
        <v>62</v>
      </c>
      <c r="H616" s="10" t="s">
        <v>63</v>
      </c>
      <c r="I616" s="10" t="s">
        <v>64</v>
      </c>
    </row>
    <row r="617" spans="1:9" x14ac:dyDescent="0.3">
      <c r="A617" s="10" t="s">
        <v>58</v>
      </c>
      <c r="B617" s="11">
        <v>1</v>
      </c>
      <c r="C617" s="11">
        <f>IF('Input Responden'!D55&gt;=0,IF('Input Responden'!D55=0,1,'Input Responden'!D55),1/ABS('Input Responden'!D55))</f>
        <v>4</v>
      </c>
      <c r="D617" s="11">
        <f>IF('Input Responden'!E55&gt;=0,IF('Input Responden'!E55=0,1,'Input Responden'!E55),1/ABS('Input Responden'!E55))</f>
        <v>5</v>
      </c>
      <c r="E617" s="11">
        <f>IF('Input Responden'!F55&gt;=0,IF('Input Responden'!F55=0,1,'Input Responden'!F55),1/ABS('Input Responden'!F55))</f>
        <v>0.25</v>
      </c>
      <c r="G617" s="12">
        <f>AVERAGE(B617/B$621,C617/C$621,D617/D$621,E617/E$621)</f>
        <v>0.31887166729883287</v>
      </c>
      <c r="H617" s="11">
        <f>B617*$G$617+C617*$G$618+D617*$G$619+E617*$G$620</f>
        <v>1.9240823033469248</v>
      </c>
      <c r="I617" s="11">
        <f>H617/G617</f>
        <v>6.0340334393640473</v>
      </c>
    </row>
    <row r="618" spans="1:9" x14ac:dyDescent="0.3">
      <c r="A618" s="10" t="s">
        <v>59</v>
      </c>
      <c r="B618" s="11">
        <f>1/C617</f>
        <v>0.25</v>
      </c>
      <c r="C618" s="11">
        <v>1</v>
      </c>
      <c r="D618" s="11">
        <f>IF('Input Responden'!G55&gt;=0,IF('Input Responden'!G55=0,1,'Input Responden'!G55),1/ABS('Input Responden'!G55))</f>
        <v>5</v>
      </c>
      <c r="E618" s="11">
        <f>IF('Input Responden'!H55&gt;=0,IF('Input Responden'!H55=0,1,'Input Responden'!H55),1/ABS('Input Responden'!H55))</f>
        <v>5</v>
      </c>
      <c r="G618" s="12">
        <f>AVERAGE(B618/B$621,C618/C$621,D618/D$621,E618/E$621)</f>
        <v>0.32968763581695626</v>
      </c>
      <c r="H618" s="11">
        <f>B618*$G$617+C618*$G$618+D618*$G$619+E618*$G$620</f>
        <v>2.1666090370627189</v>
      </c>
      <c r="I618" s="11">
        <f>H618/G618</f>
        <v>6.5717024288579262</v>
      </c>
    </row>
    <row r="619" spans="1:9" x14ac:dyDescent="0.3">
      <c r="A619" s="10" t="s">
        <v>60</v>
      </c>
      <c r="B619" s="11">
        <f>1/D617</f>
        <v>0.2</v>
      </c>
      <c r="C619" s="11">
        <f>1/D618</f>
        <v>0.2</v>
      </c>
      <c r="D619" s="11">
        <v>1</v>
      </c>
      <c r="E619" s="11">
        <f>IF('Input Responden'!I55&gt;=0,IF('Input Responden'!I55=0,1,'Input Responden'!I55),1/ABS('Input Responden'!I55))</f>
        <v>0.2</v>
      </c>
      <c r="G619" s="12">
        <f>AVERAGE(B619/B$621,C619/C$621,D619/D$621,E619/E$621)</f>
        <v>4.1810509170360888E-2</v>
      </c>
      <c r="H619" s="11">
        <f>B619*$G$617+C619*$G$618+D619*$G$619+E619*$G$620</f>
        <v>0.23344840733628869</v>
      </c>
      <c r="I619" s="11">
        <f>H619/G619</f>
        <v>5.5834863523206808</v>
      </c>
    </row>
    <row r="620" spans="1:9" x14ac:dyDescent="0.3">
      <c r="A620" s="10" t="s">
        <v>61</v>
      </c>
      <c r="B620" s="11">
        <f>1/E617</f>
        <v>4</v>
      </c>
      <c r="C620" s="11">
        <f>1/E618</f>
        <v>0.2</v>
      </c>
      <c r="D620" s="11">
        <f>1/E619</f>
        <v>5</v>
      </c>
      <c r="E620" s="11">
        <v>1</v>
      </c>
      <c r="G620" s="12">
        <f>AVERAGE(B620/B$621,C620/C$621,D620/D$621,E620/E$621)</f>
        <v>0.30963018771384998</v>
      </c>
      <c r="H620" s="11">
        <f>B620*$G$617+C620*$G$618+D620*$G$619+E620*$G$620</f>
        <v>1.8601069299243771</v>
      </c>
      <c r="I620" s="11">
        <f>H620/G620</f>
        <v>6.007511553245017</v>
      </c>
    </row>
    <row r="621" spans="1:9" x14ac:dyDescent="0.3">
      <c r="A621" s="13" t="s">
        <v>65</v>
      </c>
      <c r="B621" s="11">
        <f>SUM(B617:B620)</f>
        <v>5.45</v>
      </c>
      <c r="C621" s="11">
        <f>SUM(C617:C620)</f>
        <v>5.4</v>
      </c>
      <c r="D621" s="11">
        <f>SUM(D617:D620)</f>
        <v>16</v>
      </c>
      <c r="E621" s="11">
        <f>SUM(E617:E620)</f>
        <v>6.45</v>
      </c>
    </row>
    <row r="622" spans="1:9" x14ac:dyDescent="0.3">
      <c r="A622" s="1" t="s">
        <v>66</v>
      </c>
      <c r="G622" s="12">
        <f>AVERAGE(I617:I620)</f>
        <v>6.0491834434469176</v>
      </c>
    </row>
    <row r="623" spans="1:9" x14ac:dyDescent="0.3">
      <c r="A623" s="1" t="s">
        <v>67</v>
      </c>
      <c r="G623" s="12">
        <f>(G622-4)/(4-1)</f>
        <v>0.6830611478156392</v>
      </c>
    </row>
    <row r="624" spans="1:9" x14ac:dyDescent="0.3">
      <c r="A624" s="29" t="s">
        <v>68</v>
      </c>
      <c r="B624" s="29"/>
      <c r="C624" s="29"/>
      <c r="D624" s="29"/>
      <c r="G624" s="14">
        <f>G623/0.9</f>
        <v>0.75895683090626576</v>
      </c>
    </row>
    <row r="625" spans="1:9" ht="41.4" x14ac:dyDescent="0.3">
      <c r="A625" s="1" t="s">
        <v>69</v>
      </c>
      <c r="G625" s="15" t="str">
        <f>IF('Input Responden'!B55="","Belum diisi",IF(G624&lt;=0.1,"Konsisten - dipakai","Tidak Konsisten - dikecualikan"))</f>
        <v>Tidak Konsisten - dikecualikan</v>
      </c>
    </row>
    <row r="627" spans="1:9" x14ac:dyDescent="0.3">
      <c r="A627" s="9" t="s">
        <v>121</v>
      </c>
      <c r="B627" s="28" t="str">
        <f>'Input Responden'!B56</f>
        <v>Nanda stefanny</v>
      </c>
      <c r="C627" s="28"/>
      <c r="D627" s="28"/>
    </row>
    <row r="628" spans="1:9" x14ac:dyDescent="0.3">
      <c r="A628" s="10"/>
      <c r="B628" s="10" t="s">
        <v>58</v>
      </c>
      <c r="C628" s="10" t="s">
        <v>59</v>
      </c>
      <c r="D628" s="10" t="s">
        <v>60</v>
      </c>
      <c r="E628" s="10" t="s">
        <v>61</v>
      </c>
      <c r="F628" s="10"/>
      <c r="G628" s="10" t="s">
        <v>62</v>
      </c>
      <c r="H628" s="10" t="s">
        <v>63</v>
      </c>
      <c r="I628" s="10" t="s">
        <v>64</v>
      </c>
    </row>
    <row r="629" spans="1:9" x14ac:dyDescent="0.3">
      <c r="A629" s="10" t="s">
        <v>58</v>
      </c>
      <c r="B629" s="11">
        <v>1</v>
      </c>
      <c r="C629" s="11">
        <f>IF('Input Responden'!D56&gt;=0,IF('Input Responden'!D56=0,1,'Input Responden'!D56),1/ABS('Input Responden'!D56))</f>
        <v>0.2</v>
      </c>
      <c r="D629" s="11">
        <f>IF('Input Responden'!E56&gt;=0,IF('Input Responden'!E56=0,1,'Input Responden'!E56),1/ABS('Input Responden'!E56))</f>
        <v>1</v>
      </c>
      <c r="E629" s="11">
        <f>IF('Input Responden'!F56&gt;=0,IF('Input Responden'!F56=0,1,'Input Responden'!F56),1/ABS('Input Responden'!F56))</f>
        <v>1</v>
      </c>
      <c r="G629" s="12">
        <f>AVERAGE(B629/B$633,C629/C$633,D629/D$633,E629/E$633)</f>
        <v>0.171875</v>
      </c>
      <c r="H629" s="11">
        <f>B629*$G$629+C629*$G$630+D629*$G$631+E629*$G$632</f>
        <v>0.71250000000000002</v>
      </c>
      <c r="I629" s="11">
        <f>H629/G629</f>
        <v>4.1454545454545455</v>
      </c>
    </row>
    <row r="630" spans="1:9" x14ac:dyDescent="0.3">
      <c r="A630" s="10" t="s">
        <v>59</v>
      </c>
      <c r="B630" s="11">
        <f>1/C629</f>
        <v>5</v>
      </c>
      <c r="C630" s="11">
        <v>1</v>
      </c>
      <c r="D630" s="11">
        <f>IF('Input Responden'!G56&gt;=0,IF('Input Responden'!G56=0,1,'Input Responden'!G56),1/ABS('Input Responden'!G56))</f>
        <v>1</v>
      </c>
      <c r="E630" s="11">
        <f>IF('Input Responden'!H56&gt;=0,IF('Input Responden'!H56=0,1,'Input Responden'!H56),1/ABS('Input Responden'!H56))</f>
        <v>1</v>
      </c>
      <c r="G630" s="12">
        <f>AVERAGE(B630/B$633,C630/C$633,D630/D$633,E630/E$633)</f>
        <v>0.359375</v>
      </c>
      <c r="H630" s="11">
        <f>B630*$G$629+C630*$G$630+D630*$G$631+E630*$G$632</f>
        <v>1.6875</v>
      </c>
      <c r="I630" s="11">
        <f>H630/G630</f>
        <v>4.6956521739130439</v>
      </c>
    </row>
    <row r="631" spans="1:9" x14ac:dyDescent="0.3">
      <c r="A631" s="10" t="s">
        <v>60</v>
      </c>
      <c r="B631" s="11">
        <f>1/D629</f>
        <v>1</v>
      </c>
      <c r="C631" s="11">
        <f>1/D630</f>
        <v>1</v>
      </c>
      <c r="D631" s="11">
        <v>1</v>
      </c>
      <c r="E631" s="11">
        <f>IF('Input Responden'!I56&gt;=0,IF('Input Responden'!I56=0,1,'Input Responden'!I56),1/ABS('Input Responden'!I56))</f>
        <v>1</v>
      </c>
      <c r="G631" s="12">
        <f>AVERAGE(B631/B$633,C631/C$633,D631/D$633,E631/E$633)</f>
        <v>0.234375</v>
      </c>
      <c r="H631" s="11">
        <f>B631*$G$629+C631*$G$630+D631*$G$631+E631*$G$632</f>
        <v>1</v>
      </c>
      <c r="I631" s="11">
        <f>H631/G631</f>
        <v>4.2666666666666666</v>
      </c>
    </row>
    <row r="632" spans="1:9" x14ac:dyDescent="0.3">
      <c r="A632" s="10" t="s">
        <v>61</v>
      </c>
      <c r="B632" s="11">
        <f>1/E629</f>
        <v>1</v>
      </c>
      <c r="C632" s="11">
        <f>1/E630</f>
        <v>1</v>
      </c>
      <c r="D632" s="11">
        <f>1/E631</f>
        <v>1</v>
      </c>
      <c r="E632" s="11">
        <v>1</v>
      </c>
      <c r="G632" s="12">
        <f>AVERAGE(B632/B$633,C632/C$633,D632/D$633,E632/E$633)</f>
        <v>0.234375</v>
      </c>
      <c r="H632" s="11">
        <f>B632*$G$629+C632*$G$630+D632*$G$631+E632*$G$632</f>
        <v>1</v>
      </c>
      <c r="I632" s="11">
        <f>H632/G632</f>
        <v>4.2666666666666666</v>
      </c>
    </row>
    <row r="633" spans="1:9" x14ac:dyDescent="0.3">
      <c r="A633" s="13" t="s">
        <v>65</v>
      </c>
      <c r="B633" s="11">
        <f>SUM(B629:B632)</f>
        <v>8</v>
      </c>
      <c r="C633" s="11">
        <f>SUM(C629:C632)</f>
        <v>3.2</v>
      </c>
      <c r="D633" s="11">
        <f>SUM(D629:D632)</f>
        <v>4</v>
      </c>
      <c r="E633" s="11">
        <f>SUM(E629:E632)</f>
        <v>4</v>
      </c>
    </row>
    <row r="634" spans="1:9" x14ac:dyDescent="0.3">
      <c r="A634" s="1" t="s">
        <v>66</v>
      </c>
      <c r="G634" s="12">
        <f>AVERAGE(I629:I632)</f>
        <v>4.3436100131752307</v>
      </c>
    </row>
    <row r="635" spans="1:9" x14ac:dyDescent="0.3">
      <c r="A635" s="1" t="s">
        <v>67</v>
      </c>
      <c r="G635" s="12">
        <f>(G634-4)/(4-1)</f>
        <v>0.11453667105841021</v>
      </c>
    </row>
    <row r="636" spans="1:9" x14ac:dyDescent="0.3">
      <c r="A636" s="29" t="s">
        <v>68</v>
      </c>
      <c r="B636" s="29"/>
      <c r="C636" s="29"/>
      <c r="D636" s="29"/>
      <c r="G636" s="14">
        <f>G635/0.9</f>
        <v>0.12726296784267802</v>
      </c>
    </row>
    <row r="637" spans="1:9" ht="41.4" x14ac:dyDescent="0.3">
      <c r="A637" s="1" t="s">
        <v>69</v>
      </c>
      <c r="G637" s="15" t="str">
        <f>IF('Input Responden'!B56="","Belum diisi",IF(G636&lt;=0.1,"Konsisten - dipakai","Tidak Konsisten - dikecualikan"))</f>
        <v>Tidak Konsisten - dikecualikan</v>
      </c>
    </row>
    <row r="639" spans="1:9" x14ac:dyDescent="0.3">
      <c r="A639" s="9" t="s">
        <v>122</v>
      </c>
      <c r="B639" s="28" t="str">
        <f>'Input Responden'!B57</f>
        <v>Hendik mahmudi</v>
      </c>
      <c r="C639" s="28"/>
      <c r="D639" s="28"/>
    </row>
    <row r="640" spans="1:9" x14ac:dyDescent="0.3">
      <c r="A640" s="10"/>
      <c r="B640" s="10" t="s">
        <v>58</v>
      </c>
      <c r="C640" s="10" t="s">
        <v>59</v>
      </c>
      <c r="D640" s="10" t="s">
        <v>60</v>
      </c>
      <c r="E640" s="10" t="s">
        <v>61</v>
      </c>
      <c r="F640" s="10"/>
      <c r="G640" s="10" t="s">
        <v>62</v>
      </c>
      <c r="H640" s="10" t="s">
        <v>63</v>
      </c>
      <c r="I640" s="10" t="s">
        <v>64</v>
      </c>
    </row>
    <row r="641" spans="1:9" x14ac:dyDescent="0.3">
      <c r="A641" s="10" t="s">
        <v>58</v>
      </c>
      <c r="B641" s="11">
        <v>1</v>
      </c>
      <c r="C641" s="11">
        <f>IF('Input Responden'!D57&gt;=0,IF('Input Responden'!D57=0,1,'Input Responden'!D57),1/ABS('Input Responden'!D57))</f>
        <v>1</v>
      </c>
      <c r="D641" s="11">
        <f>IF('Input Responden'!E57&gt;=0,IF('Input Responden'!E57=0,1,'Input Responden'!E57),1/ABS('Input Responden'!E57))</f>
        <v>1</v>
      </c>
      <c r="E641" s="11">
        <f>IF('Input Responden'!F57&gt;=0,IF('Input Responden'!F57=0,1,'Input Responden'!F57),1/ABS('Input Responden'!F57))</f>
        <v>1</v>
      </c>
      <c r="G641" s="12">
        <f>AVERAGE(B641/B$645,C641/C$645,D641/D$645,E641/E$645)</f>
        <v>0.25</v>
      </c>
      <c r="H641" s="11">
        <f>B641*$G$641+C641*$G$642+D641*$G$643+E641*$G$644</f>
        <v>1</v>
      </c>
      <c r="I641" s="11">
        <f>H641/G641</f>
        <v>4</v>
      </c>
    </row>
    <row r="642" spans="1:9" x14ac:dyDescent="0.3">
      <c r="A642" s="10" t="s">
        <v>59</v>
      </c>
      <c r="B642" s="11">
        <f>1/C641</f>
        <v>1</v>
      </c>
      <c r="C642" s="11">
        <v>1</v>
      </c>
      <c r="D642" s="11">
        <f>IF('Input Responden'!G57&gt;=0,IF('Input Responden'!G57=0,1,'Input Responden'!G57),1/ABS('Input Responden'!G57))</f>
        <v>1</v>
      </c>
      <c r="E642" s="11">
        <f>IF('Input Responden'!H57&gt;=0,IF('Input Responden'!H57=0,1,'Input Responden'!H57),1/ABS('Input Responden'!H57))</f>
        <v>1</v>
      </c>
      <c r="G642" s="12">
        <f>AVERAGE(B642/B$645,C642/C$645,D642/D$645,E642/E$645)</f>
        <v>0.25</v>
      </c>
      <c r="H642" s="11">
        <f>B642*$G$641+C642*$G$642+D642*$G$643+E642*$G$644</f>
        <v>1</v>
      </c>
      <c r="I642" s="11">
        <f>H642/G642</f>
        <v>4</v>
      </c>
    </row>
    <row r="643" spans="1:9" x14ac:dyDescent="0.3">
      <c r="A643" s="10" t="s">
        <v>60</v>
      </c>
      <c r="B643" s="11">
        <f>1/D641</f>
        <v>1</v>
      </c>
      <c r="C643" s="11">
        <f>1/D642</f>
        <v>1</v>
      </c>
      <c r="D643" s="11">
        <v>1</v>
      </c>
      <c r="E643" s="11">
        <f>IF('Input Responden'!I57&gt;=0,IF('Input Responden'!I57=0,1,'Input Responden'!I57),1/ABS('Input Responden'!I57))</f>
        <v>1</v>
      </c>
      <c r="G643" s="12">
        <f>AVERAGE(B643/B$645,C643/C$645,D643/D$645,E643/E$645)</f>
        <v>0.25</v>
      </c>
      <c r="H643" s="11">
        <f>B643*$G$641+C643*$G$642+D643*$G$643+E643*$G$644</f>
        <v>1</v>
      </c>
      <c r="I643" s="11">
        <f>H643/G643</f>
        <v>4</v>
      </c>
    </row>
    <row r="644" spans="1:9" x14ac:dyDescent="0.3">
      <c r="A644" s="10" t="s">
        <v>61</v>
      </c>
      <c r="B644" s="11">
        <f>1/E641</f>
        <v>1</v>
      </c>
      <c r="C644" s="11">
        <f>1/E642</f>
        <v>1</v>
      </c>
      <c r="D644" s="11">
        <f>1/E643</f>
        <v>1</v>
      </c>
      <c r="E644" s="11">
        <v>1</v>
      </c>
      <c r="G644" s="12">
        <f>AVERAGE(B644/B$645,C644/C$645,D644/D$645,E644/E$645)</f>
        <v>0.25</v>
      </c>
      <c r="H644" s="11">
        <f>B644*$G$641+C644*$G$642+D644*$G$643+E644*$G$644</f>
        <v>1</v>
      </c>
      <c r="I644" s="11">
        <f>H644/G644</f>
        <v>4</v>
      </c>
    </row>
    <row r="645" spans="1:9" x14ac:dyDescent="0.3">
      <c r="A645" s="13" t="s">
        <v>65</v>
      </c>
      <c r="B645" s="11">
        <f>SUM(B641:B644)</f>
        <v>4</v>
      </c>
      <c r="C645" s="11">
        <f>SUM(C641:C644)</f>
        <v>4</v>
      </c>
      <c r="D645" s="11">
        <f>SUM(D641:D644)</f>
        <v>4</v>
      </c>
      <c r="E645" s="11">
        <f>SUM(E641:E644)</f>
        <v>4</v>
      </c>
    </row>
    <row r="646" spans="1:9" x14ac:dyDescent="0.3">
      <c r="A646" s="1" t="s">
        <v>66</v>
      </c>
      <c r="G646" s="12">
        <f>AVERAGE(I641:I644)</f>
        <v>4</v>
      </c>
    </row>
    <row r="647" spans="1:9" x14ac:dyDescent="0.3">
      <c r="A647" s="1" t="s">
        <v>67</v>
      </c>
      <c r="G647" s="12">
        <f>(G646-4)/(4-1)</f>
        <v>0</v>
      </c>
    </row>
    <row r="648" spans="1:9" x14ac:dyDescent="0.3">
      <c r="A648" s="29" t="s">
        <v>68</v>
      </c>
      <c r="B648" s="29"/>
      <c r="C648" s="29"/>
      <c r="D648" s="29"/>
      <c r="G648" s="14">
        <f>G647/0.9</f>
        <v>0</v>
      </c>
    </row>
    <row r="649" spans="1:9" ht="27.6" x14ac:dyDescent="0.3">
      <c r="A649" s="1" t="s">
        <v>69</v>
      </c>
      <c r="G649" s="15" t="str">
        <f>IF('Input Responden'!B57="","Belum diisi",IF(G648&lt;=0.1,"Konsisten - dipakai","Tidak Konsisten - dikecualikan"))</f>
        <v>Konsisten - dipakai</v>
      </c>
    </row>
    <row r="651" spans="1:9" x14ac:dyDescent="0.3">
      <c r="A651" s="9" t="s">
        <v>123</v>
      </c>
      <c r="B651" s="30">
        <f>'Input Responden'!B58</f>
        <v>0</v>
      </c>
      <c r="C651" s="30"/>
      <c r="D651" s="30"/>
    </row>
    <row r="652" spans="1:9" x14ac:dyDescent="0.3">
      <c r="A652" s="10"/>
      <c r="B652" s="10" t="s">
        <v>58</v>
      </c>
      <c r="C652" s="10" t="s">
        <v>59</v>
      </c>
      <c r="D652" s="10" t="s">
        <v>60</v>
      </c>
      <c r="E652" s="10" t="s">
        <v>61</v>
      </c>
      <c r="F652" s="10"/>
      <c r="G652" s="10" t="s">
        <v>62</v>
      </c>
      <c r="H652" s="10" t="s">
        <v>63</v>
      </c>
      <c r="I652" s="10" t="s">
        <v>64</v>
      </c>
    </row>
    <row r="653" spans="1:9" x14ac:dyDescent="0.3">
      <c r="A653" s="10" t="s">
        <v>58</v>
      </c>
      <c r="B653" s="11">
        <v>1</v>
      </c>
      <c r="C653" s="11">
        <f>IF('Input Responden'!D58&gt;=0,IF('Input Responden'!D58=0,1,'Input Responden'!D58),1/ABS('Input Responden'!D58))</f>
        <v>1</v>
      </c>
      <c r="D653" s="11">
        <f>IF('Input Responden'!E58&gt;=0,IF('Input Responden'!E58=0,1,'Input Responden'!E58),1/ABS('Input Responden'!E58))</f>
        <v>1</v>
      </c>
      <c r="E653" s="11">
        <f>IF('Input Responden'!F58&gt;=0,IF('Input Responden'!F58=0,1,'Input Responden'!F58),1/ABS('Input Responden'!F58))</f>
        <v>1</v>
      </c>
      <c r="G653" s="12">
        <f>AVERAGE(B653/B$657,C653/C$657,D653/D$657,E653/E$657)</f>
        <v>0.25</v>
      </c>
      <c r="H653" s="11">
        <f>B653*$G$653+C653*$G$654+D653*$G$655+E653*$G$656</f>
        <v>1</v>
      </c>
      <c r="I653" s="11">
        <f>H653/G653</f>
        <v>4</v>
      </c>
    </row>
    <row r="654" spans="1:9" x14ac:dyDescent="0.3">
      <c r="A654" s="10" t="s">
        <v>59</v>
      </c>
      <c r="B654" s="11">
        <f>1/C653</f>
        <v>1</v>
      </c>
      <c r="C654" s="11">
        <v>1</v>
      </c>
      <c r="D654" s="11">
        <f>IF('Input Responden'!G58&gt;=0,IF('Input Responden'!G58=0,1,'Input Responden'!G58),1/ABS('Input Responden'!G58))</f>
        <v>1</v>
      </c>
      <c r="E654" s="11">
        <f>IF('Input Responden'!H58&gt;=0,IF('Input Responden'!H58=0,1,'Input Responden'!H58),1/ABS('Input Responden'!H58))</f>
        <v>1</v>
      </c>
      <c r="G654" s="12">
        <f>AVERAGE(B654/B$657,C654/C$657,D654/D$657,E654/E$657)</f>
        <v>0.25</v>
      </c>
      <c r="H654" s="11">
        <f>B654*$G$653+C654*$G$654+D654*$G$655+E654*$G$656</f>
        <v>1</v>
      </c>
      <c r="I654" s="11">
        <f>H654/G654</f>
        <v>4</v>
      </c>
    </row>
    <row r="655" spans="1:9" x14ac:dyDescent="0.3">
      <c r="A655" s="10" t="s">
        <v>60</v>
      </c>
      <c r="B655" s="11">
        <f>1/D653</f>
        <v>1</v>
      </c>
      <c r="C655" s="11">
        <f>1/D654</f>
        <v>1</v>
      </c>
      <c r="D655" s="11">
        <v>1</v>
      </c>
      <c r="E655" s="11">
        <f>IF('Input Responden'!I58&gt;=0,IF('Input Responden'!I58=0,1,'Input Responden'!I58),1/ABS('Input Responden'!I58))</f>
        <v>1</v>
      </c>
      <c r="G655" s="12">
        <f>AVERAGE(B655/B$657,C655/C$657,D655/D$657,E655/E$657)</f>
        <v>0.25</v>
      </c>
      <c r="H655" s="11">
        <f>B655*$G$653+C655*$G$654+D655*$G$655+E655*$G$656</f>
        <v>1</v>
      </c>
      <c r="I655" s="11">
        <f>H655/G655</f>
        <v>4</v>
      </c>
    </row>
    <row r="656" spans="1:9" x14ac:dyDescent="0.3">
      <c r="A656" s="10" t="s">
        <v>61</v>
      </c>
      <c r="B656" s="11">
        <f>1/E653</f>
        <v>1</v>
      </c>
      <c r="C656" s="11">
        <f>1/E654</f>
        <v>1</v>
      </c>
      <c r="D656" s="11">
        <f>1/E655</f>
        <v>1</v>
      </c>
      <c r="E656" s="11">
        <v>1</v>
      </c>
      <c r="G656" s="12">
        <f>AVERAGE(B656/B$657,C656/C$657,D656/D$657,E656/E$657)</f>
        <v>0.25</v>
      </c>
      <c r="H656" s="11">
        <f>B656*$G$653+C656*$G$654+D656*$G$655+E656*$G$656</f>
        <v>1</v>
      </c>
      <c r="I656" s="11">
        <f>H656/G656</f>
        <v>4</v>
      </c>
    </row>
    <row r="657" spans="1:9" x14ac:dyDescent="0.3">
      <c r="A657" s="13" t="s">
        <v>65</v>
      </c>
      <c r="B657" s="11">
        <f>SUM(B653:B656)</f>
        <v>4</v>
      </c>
      <c r="C657" s="11">
        <f>SUM(C653:C656)</f>
        <v>4</v>
      </c>
      <c r="D657" s="11">
        <f>SUM(D653:D656)</f>
        <v>4</v>
      </c>
      <c r="E657" s="11">
        <f>SUM(E653:E656)</f>
        <v>4</v>
      </c>
    </row>
    <row r="658" spans="1:9" x14ac:dyDescent="0.3">
      <c r="A658" s="1" t="s">
        <v>66</v>
      </c>
      <c r="G658" s="12">
        <f>AVERAGE(I653:I656)</f>
        <v>4</v>
      </c>
    </row>
    <row r="659" spans="1:9" x14ac:dyDescent="0.3">
      <c r="A659" s="1" t="s">
        <v>67</v>
      </c>
      <c r="G659" s="12">
        <f>(G658-4)/(4-1)</f>
        <v>0</v>
      </c>
    </row>
    <row r="660" spans="1:9" x14ac:dyDescent="0.3">
      <c r="A660" s="24" t="s">
        <v>68</v>
      </c>
      <c r="B660" s="31"/>
      <c r="C660" s="31"/>
      <c r="D660" s="32"/>
      <c r="G660" s="14">
        <f>G659/0.9</f>
        <v>0</v>
      </c>
    </row>
    <row r="661" spans="1:9" x14ac:dyDescent="0.3">
      <c r="A661" s="1" t="s">
        <v>69</v>
      </c>
      <c r="G661" s="15" t="str">
        <f>IF('Input Responden'!B58="","Belum diisi",IF(G660&lt;=0.1,"Konsisten - dipakai","Tidak Konsisten - dikecualikan"))</f>
        <v>Belum diisi</v>
      </c>
    </row>
    <row r="663" spans="1:9" x14ac:dyDescent="0.3">
      <c r="A663" s="9" t="s">
        <v>124</v>
      </c>
      <c r="B663" s="30">
        <f>'Input Responden'!B59</f>
        <v>0</v>
      </c>
      <c r="C663" s="30"/>
      <c r="D663" s="30"/>
    </row>
    <row r="664" spans="1:9" x14ac:dyDescent="0.3">
      <c r="A664" s="10"/>
      <c r="B664" s="10" t="s">
        <v>58</v>
      </c>
      <c r="C664" s="10" t="s">
        <v>59</v>
      </c>
      <c r="D664" s="10" t="s">
        <v>60</v>
      </c>
      <c r="E664" s="10" t="s">
        <v>61</v>
      </c>
      <c r="F664" s="10"/>
      <c r="G664" s="10" t="s">
        <v>62</v>
      </c>
      <c r="H664" s="10" t="s">
        <v>63</v>
      </c>
      <c r="I664" s="10" t="s">
        <v>64</v>
      </c>
    </row>
    <row r="665" spans="1:9" x14ac:dyDescent="0.3">
      <c r="A665" s="10" t="s">
        <v>58</v>
      </c>
      <c r="B665" s="11">
        <v>1</v>
      </c>
      <c r="C665" s="11">
        <f>IF('Input Responden'!D59&gt;=0,IF('Input Responden'!D59=0,1,'Input Responden'!D59),1/ABS('Input Responden'!D59))</f>
        <v>1</v>
      </c>
      <c r="D665" s="11">
        <f>IF('Input Responden'!E59&gt;=0,IF('Input Responden'!E59=0,1,'Input Responden'!E59),1/ABS('Input Responden'!E59))</f>
        <v>1</v>
      </c>
      <c r="E665" s="11">
        <f>IF('Input Responden'!F59&gt;=0,IF('Input Responden'!F59=0,1,'Input Responden'!F59),1/ABS('Input Responden'!F59))</f>
        <v>1</v>
      </c>
      <c r="G665" s="12">
        <f>AVERAGE(B665/B$669,C665/C$669,D665/D$669,E665/E$669)</f>
        <v>0.25</v>
      </c>
      <c r="H665" s="11">
        <f>B665*$G$665+C665*$G$666+D665*$G$667+E665*$G$668</f>
        <v>1</v>
      </c>
      <c r="I665" s="11">
        <f>H665/G665</f>
        <v>4</v>
      </c>
    </row>
    <row r="666" spans="1:9" x14ac:dyDescent="0.3">
      <c r="A666" s="10" t="s">
        <v>59</v>
      </c>
      <c r="B666" s="11">
        <f>1/C665</f>
        <v>1</v>
      </c>
      <c r="C666" s="11">
        <v>1</v>
      </c>
      <c r="D666" s="11">
        <f>IF('Input Responden'!G59&gt;=0,IF('Input Responden'!G59=0,1,'Input Responden'!G59),1/ABS('Input Responden'!G59))</f>
        <v>1</v>
      </c>
      <c r="E666" s="11">
        <f>IF('Input Responden'!H59&gt;=0,IF('Input Responden'!H59=0,1,'Input Responden'!H59),1/ABS('Input Responden'!H59))</f>
        <v>1</v>
      </c>
      <c r="G666" s="12">
        <f>AVERAGE(B666/B$669,C666/C$669,D666/D$669,E666/E$669)</f>
        <v>0.25</v>
      </c>
      <c r="H666" s="11">
        <f>B666*$G$665+C666*$G$666+D666*$G$667+E666*$G$668</f>
        <v>1</v>
      </c>
      <c r="I666" s="11">
        <f>H666/G666</f>
        <v>4</v>
      </c>
    </row>
    <row r="667" spans="1:9" x14ac:dyDescent="0.3">
      <c r="A667" s="10" t="s">
        <v>60</v>
      </c>
      <c r="B667" s="11">
        <f>1/D665</f>
        <v>1</v>
      </c>
      <c r="C667" s="11">
        <f>1/D666</f>
        <v>1</v>
      </c>
      <c r="D667" s="11">
        <v>1</v>
      </c>
      <c r="E667" s="11">
        <f>IF('Input Responden'!I59&gt;=0,IF('Input Responden'!I59=0,1,'Input Responden'!I59),1/ABS('Input Responden'!I59))</f>
        <v>1</v>
      </c>
      <c r="G667" s="12">
        <f>AVERAGE(B667/B$669,C667/C$669,D667/D$669,E667/E$669)</f>
        <v>0.25</v>
      </c>
      <c r="H667" s="11">
        <f>B667*$G$665+C667*$G$666+D667*$G$667+E667*$G$668</f>
        <v>1</v>
      </c>
      <c r="I667" s="11">
        <f>H667/G667</f>
        <v>4</v>
      </c>
    </row>
    <row r="668" spans="1:9" x14ac:dyDescent="0.3">
      <c r="A668" s="10" t="s">
        <v>61</v>
      </c>
      <c r="B668" s="11">
        <f>1/E665</f>
        <v>1</v>
      </c>
      <c r="C668" s="11">
        <f>1/E666</f>
        <v>1</v>
      </c>
      <c r="D668" s="11">
        <f>1/E667</f>
        <v>1</v>
      </c>
      <c r="E668" s="11">
        <v>1</v>
      </c>
      <c r="G668" s="12">
        <f>AVERAGE(B668/B$669,C668/C$669,D668/D$669,E668/E$669)</f>
        <v>0.25</v>
      </c>
      <c r="H668" s="11">
        <f>B668*$G$665+C668*$G$666+D668*$G$667+E668*$G$668</f>
        <v>1</v>
      </c>
      <c r="I668" s="11">
        <f>H668/G668</f>
        <v>4</v>
      </c>
    </row>
    <row r="669" spans="1:9" x14ac:dyDescent="0.3">
      <c r="A669" s="13" t="s">
        <v>65</v>
      </c>
      <c r="B669" s="11">
        <f>SUM(B665:B668)</f>
        <v>4</v>
      </c>
      <c r="C669" s="11">
        <f>SUM(C665:C668)</f>
        <v>4</v>
      </c>
      <c r="D669" s="11">
        <f>SUM(D665:D668)</f>
        <v>4</v>
      </c>
      <c r="E669" s="11">
        <f>SUM(E665:E668)</f>
        <v>4</v>
      </c>
    </row>
    <row r="670" spans="1:9" x14ac:dyDescent="0.3">
      <c r="A670" s="1" t="s">
        <v>66</v>
      </c>
      <c r="G670" s="12">
        <f>AVERAGE(I665:I668)</f>
        <v>4</v>
      </c>
    </row>
    <row r="671" spans="1:9" x14ac:dyDescent="0.3">
      <c r="A671" s="1" t="s">
        <v>67</v>
      </c>
      <c r="G671" s="12">
        <f>(G670-4)/(4-1)</f>
        <v>0</v>
      </c>
    </row>
    <row r="672" spans="1:9" x14ac:dyDescent="0.3">
      <c r="A672" s="24" t="s">
        <v>68</v>
      </c>
      <c r="B672" s="31"/>
      <c r="C672" s="31"/>
      <c r="D672" s="32"/>
      <c r="G672" s="14">
        <f>G671/0.9</f>
        <v>0</v>
      </c>
    </row>
    <row r="673" spans="1:9" x14ac:dyDescent="0.3">
      <c r="A673" s="1" t="s">
        <v>69</v>
      </c>
      <c r="G673" s="15" t="str">
        <f>IF('Input Responden'!B59="","Belum diisi",IF(G672&lt;=0.1,"Konsisten - dipakai","Tidak Konsisten - dikecualikan"))</f>
        <v>Belum diisi</v>
      </c>
    </row>
    <row r="675" spans="1:9" x14ac:dyDescent="0.3">
      <c r="A675" s="9" t="s">
        <v>125</v>
      </c>
      <c r="B675" s="30">
        <f>'Input Responden'!B60</f>
        <v>0</v>
      </c>
      <c r="C675" s="30"/>
      <c r="D675" s="30"/>
    </row>
    <row r="676" spans="1:9" x14ac:dyDescent="0.3">
      <c r="A676" s="10"/>
      <c r="B676" s="10" t="s">
        <v>58</v>
      </c>
      <c r="C676" s="10" t="s">
        <v>59</v>
      </c>
      <c r="D676" s="10" t="s">
        <v>60</v>
      </c>
      <c r="E676" s="10" t="s">
        <v>61</v>
      </c>
      <c r="F676" s="10"/>
      <c r="G676" s="10" t="s">
        <v>62</v>
      </c>
      <c r="H676" s="10" t="s">
        <v>63</v>
      </c>
      <c r="I676" s="10" t="s">
        <v>64</v>
      </c>
    </row>
    <row r="677" spans="1:9" x14ac:dyDescent="0.3">
      <c r="A677" s="10" t="s">
        <v>58</v>
      </c>
      <c r="B677" s="11">
        <v>1</v>
      </c>
      <c r="C677" s="11">
        <f>IF('Input Responden'!D60&gt;=0,IF('Input Responden'!D60=0,1,'Input Responden'!D60),1/ABS('Input Responden'!D60))</f>
        <v>1</v>
      </c>
      <c r="D677" s="11">
        <f>IF('Input Responden'!E60&gt;=0,IF('Input Responden'!E60=0,1,'Input Responden'!E60),1/ABS('Input Responden'!E60))</f>
        <v>1</v>
      </c>
      <c r="E677" s="11">
        <f>IF('Input Responden'!F60&gt;=0,IF('Input Responden'!F60=0,1,'Input Responden'!F60),1/ABS('Input Responden'!F60))</f>
        <v>1</v>
      </c>
      <c r="G677" s="12">
        <f>AVERAGE(B677/B$681,C677/C$681,D677/D$681,E677/E$681)</f>
        <v>0.25</v>
      </c>
      <c r="H677" s="11">
        <f>B677*$G$677+C677*$G$678+D677*$G$679+E677*$G$680</f>
        <v>1</v>
      </c>
      <c r="I677" s="11">
        <f>H677/G677</f>
        <v>4</v>
      </c>
    </row>
    <row r="678" spans="1:9" x14ac:dyDescent="0.3">
      <c r="A678" s="10" t="s">
        <v>59</v>
      </c>
      <c r="B678" s="11">
        <f>1/C677</f>
        <v>1</v>
      </c>
      <c r="C678" s="11">
        <v>1</v>
      </c>
      <c r="D678" s="11">
        <f>IF('Input Responden'!G60&gt;=0,IF('Input Responden'!G60=0,1,'Input Responden'!G60),1/ABS('Input Responden'!G60))</f>
        <v>1</v>
      </c>
      <c r="E678" s="11">
        <f>IF('Input Responden'!H60&gt;=0,IF('Input Responden'!H60=0,1,'Input Responden'!H60),1/ABS('Input Responden'!H60))</f>
        <v>1</v>
      </c>
      <c r="G678" s="12">
        <f>AVERAGE(B678/B$681,C678/C$681,D678/D$681,E678/E$681)</f>
        <v>0.25</v>
      </c>
      <c r="H678" s="11">
        <f>B678*$G$677+C678*$G$678+D678*$G$679+E678*$G$680</f>
        <v>1</v>
      </c>
      <c r="I678" s="11">
        <f>H678/G678</f>
        <v>4</v>
      </c>
    </row>
    <row r="679" spans="1:9" x14ac:dyDescent="0.3">
      <c r="A679" s="10" t="s">
        <v>60</v>
      </c>
      <c r="B679" s="11">
        <f>1/D677</f>
        <v>1</v>
      </c>
      <c r="C679" s="11">
        <f>1/D678</f>
        <v>1</v>
      </c>
      <c r="D679" s="11">
        <v>1</v>
      </c>
      <c r="E679" s="11">
        <f>IF('Input Responden'!I60&gt;=0,IF('Input Responden'!I60=0,1,'Input Responden'!I60),1/ABS('Input Responden'!I60))</f>
        <v>1</v>
      </c>
      <c r="G679" s="12">
        <f>AVERAGE(B679/B$681,C679/C$681,D679/D$681,E679/E$681)</f>
        <v>0.25</v>
      </c>
      <c r="H679" s="11">
        <f>B679*$G$677+C679*$G$678+D679*$G$679+E679*$G$680</f>
        <v>1</v>
      </c>
      <c r="I679" s="11">
        <f>H679/G679</f>
        <v>4</v>
      </c>
    </row>
    <row r="680" spans="1:9" x14ac:dyDescent="0.3">
      <c r="A680" s="10" t="s">
        <v>61</v>
      </c>
      <c r="B680" s="11">
        <f>1/E677</f>
        <v>1</v>
      </c>
      <c r="C680" s="11">
        <f>1/E678</f>
        <v>1</v>
      </c>
      <c r="D680" s="11">
        <f>1/E679</f>
        <v>1</v>
      </c>
      <c r="E680" s="11">
        <v>1</v>
      </c>
      <c r="G680" s="12">
        <f>AVERAGE(B680/B$681,C680/C$681,D680/D$681,E680/E$681)</f>
        <v>0.25</v>
      </c>
      <c r="H680" s="11">
        <f>B680*$G$677+C680*$G$678+D680*$G$679+E680*$G$680</f>
        <v>1</v>
      </c>
      <c r="I680" s="11">
        <f>H680/G680</f>
        <v>4</v>
      </c>
    </row>
    <row r="681" spans="1:9" x14ac:dyDescent="0.3">
      <c r="A681" s="13" t="s">
        <v>65</v>
      </c>
      <c r="B681" s="11">
        <f>SUM(B677:B680)</f>
        <v>4</v>
      </c>
      <c r="C681" s="11">
        <f>SUM(C677:C680)</f>
        <v>4</v>
      </c>
      <c r="D681" s="11">
        <f>SUM(D677:D680)</f>
        <v>4</v>
      </c>
      <c r="E681" s="11">
        <f>SUM(E677:E680)</f>
        <v>4</v>
      </c>
    </row>
    <row r="682" spans="1:9" x14ac:dyDescent="0.3">
      <c r="A682" s="1" t="s">
        <v>66</v>
      </c>
      <c r="G682" s="12">
        <f>AVERAGE(I677:I680)</f>
        <v>4</v>
      </c>
    </row>
    <row r="683" spans="1:9" x14ac:dyDescent="0.3">
      <c r="A683" s="1" t="s">
        <v>67</v>
      </c>
      <c r="G683" s="12">
        <f>(G682-4)/(4-1)</f>
        <v>0</v>
      </c>
    </row>
    <row r="684" spans="1:9" x14ac:dyDescent="0.3">
      <c r="A684" s="24" t="s">
        <v>68</v>
      </c>
      <c r="B684" s="31"/>
      <c r="C684" s="31"/>
      <c r="D684" s="32"/>
      <c r="G684" s="14">
        <f>G683/0.9</f>
        <v>0</v>
      </c>
    </row>
    <row r="685" spans="1:9" x14ac:dyDescent="0.3">
      <c r="A685" s="1" t="s">
        <v>69</v>
      </c>
      <c r="G685" s="15" t="str">
        <f>IF('Input Responden'!B60="","Belum diisi",IF(G684&lt;=0.1,"Konsisten - dipakai","Tidak Konsisten - dikecualikan"))</f>
        <v>Belum diisi</v>
      </c>
    </row>
    <row r="687" spans="1:9" x14ac:dyDescent="0.3">
      <c r="A687" s="9" t="s">
        <v>126</v>
      </c>
      <c r="B687" s="30">
        <f>'Input Responden'!B61</f>
        <v>0</v>
      </c>
      <c r="C687" s="30"/>
      <c r="D687" s="30"/>
    </row>
    <row r="688" spans="1:9" x14ac:dyDescent="0.3">
      <c r="A688" s="10"/>
      <c r="B688" s="10" t="s">
        <v>58</v>
      </c>
      <c r="C688" s="10" t="s">
        <v>59</v>
      </c>
      <c r="D688" s="10" t="s">
        <v>60</v>
      </c>
      <c r="E688" s="10" t="s">
        <v>61</v>
      </c>
      <c r="F688" s="10"/>
      <c r="G688" s="10" t="s">
        <v>62</v>
      </c>
      <c r="H688" s="10" t="s">
        <v>63</v>
      </c>
      <c r="I688" s="10" t="s">
        <v>64</v>
      </c>
    </row>
    <row r="689" spans="1:9" x14ac:dyDescent="0.3">
      <c r="A689" s="10" t="s">
        <v>58</v>
      </c>
      <c r="B689" s="11">
        <v>1</v>
      </c>
      <c r="C689" s="11">
        <f>IF('Input Responden'!D61&gt;=0,IF('Input Responden'!D61=0,1,'Input Responden'!D61),1/ABS('Input Responden'!D61))</f>
        <v>1</v>
      </c>
      <c r="D689" s="11">
        <f>IF('Input Responden'!E61&gt;=0,IF('Input Responden'!E61=0,1,'Input Responden'!E61),1/ABS('Input Responden'!E61))</f>
        <v>1</v>
      </c>
      <c r="E689" s="11">
        <f>IF('Input Responden'!F61&gt;=0,IF('Input Responden'!F61=0,1,'Input Responden'!F61),1/ABS('Input Responden'!F61))</f>
        <v>1</v>
      </c>
      <c r="G689" s="12">
        <f>AVERAGE(B689/B$693,C689/C$693,D689/D$693,E689/E$693)</f>
        <v>0.25</v>
      </c>
      <c r="H689" s="11">
        <f>B689*$G$689+C689*$G$690+D689*$G$691+E689*$G$692</f>
        <v>1</v>
      </c>
      <c r="I689" s="11">
        <f>H689/G689</f>
        <v>4</v>
      </c>
    </row>
    <row r="690" spans="1:9" x14ac:dyDescent="0.3">
      <c r="A690" s="10" t="s">
        <v>59</v>
      </c>
      <c r="B690" s="11">
        <f>1/C689</f>
        <v>1</v>
      </c>
      <c r="C690" s="11">
        <v>1</v>
      </c>
      <c r="D690" s="11">
        <f>IF('Input Responden'!G61&gt;=0,IF('Input Responden'!G61=0,1,'Input Responden'!G61),1/ABS('Input Responden'!G61))</f>
        <v>1</v>
      </c>
      <c r="E690" s="11">
        <f>IF('Input Responden'!H61&gt;=0,IF('Input Responden'!H61=0,1,'Input Responden'!H61),1/ABS('Input Responden'!H61))</f>
        <v>1</v>
      </c>
      <c r="G690" s="12">
        <f>AVERAGE(B690/B$693,C690/C$693,D690/D$693,E690/E$693)</f>
        <v>0.25</v>
      </c>
      <c r="H690" s="11">
        <f>B690*$G$689+C690*$G$690+D690*$G$691+E690*$G$692</f>
        <v>1</v>
      </c>
      <c r="I690" s="11">
        <f>H690/G690</f>
        <v>4</v>
      </c>
    </row>
    <row r="691" spans="1:9" x14ac:dyDescent="0.3">
      <c r="A691" s="10" t="s">
        <v>60</v>
      </c>
      <c r="B691" s="11">
        <f>1/D689</f>
        <v>1</v>
      </c>
      <c r="C691" s="11">
        <f>1/D690</f>
        <v>1</v>
      </c>
      <c r="D691" s="11">
        <v>1</v>
      </c>
      <c r="E691" s="11">
        <f>IF('Input Responden'!I61&gt;=0,IF('Input Responden'!I61=0,1,'Input Responden'!I61),1/ABS('Input Responden'!I61))</f>
        <v>1</v>
      </c>
      <c r="G691" s="12">
        <f>AVERAGE(B691/B$693,C691/C$693,D691/D$693,E691/E$693)</f>
        <v>0.25</v>
      </c>
      <c r="H691" s="11">
        <f>B691*$G$689+C691*$G$690+D691*$G$691+E691*$G$692</f>
        <v>1</v>
      </c>
      <c r="I691" s="11">
        <f>H691/G691</f>
        <v>4</v>
      </c>
    </row>
    <row r="692" spans="1:9" x14ac:dyDescent="0.3">
      <c r="A692" s="10" t="s">
        <v>61</v>
      </c>
      <c r="B692" s="11">
        <f>1/E689</f>
        <v>1</v>
      </c>
      <c r="C692" s="11">
        <f>1/E690</f>
        <v>1</v>
      </c>
      <c r="D692" s="11">
        <f>1/E691</f>
        <v>1</v>
      </c>
      <c r="E692" s="11">
        <v>1</v>
      </c>
      <c r="G692" s="12">
        <f>AVERAGE(B692/B$693,C692/C$693,D692/D$693,E692/E$693)</f>
        <v>0.25</v>
      </c>
      <c r="H692" s="11">
        <f>B692*$G$689+C692*$G$690+D692*$G$691+E692*$G$692</f>
        <v>1</v>
      </c>
      <c r="I692" s="11">
        <f>H692/G692</f>
        <v>4</v>
      </c>
    </row>
    <row r="693" spans="1:9" x14ac:dyDescent="0.3">
      <c r="A693" s="13" t="s">
        <v>65</v>
      </c>
      <c r="B693" s="11">
        <f>SUM(B689:B692)</f>
        <v>4</v>
      </c>
      <c r="C693" s="11">
        <f>SUM(C689:C692)</f>
        <v>4</v>
      </c>
      <c r="D693" s="11">
        <f>SUM(D689:D692)</f>
        <v>4</v>
      </c>
      <c r="E693" s="11">
        <f>SUM(E689:E692)</f>
        <v>4</v>
      </c>
    </row>
    <row r="694" spans="1:9" x14ac:dyDescent="0.3">
      <c r="A694" s="1" t="s">
        <v>66</v>
      </c>
      <c r="G694" s="12">
        <f>AVERAGE(I689:I692)</f>
        <v>4</v>
      </c>
    </row>
    <row r="695" spans="1:9" x14ac:dyDescent="0.3">
      <c r="A695" s="1" t="s">
        <v>67</v>
      </c>
      <c r="G695" s="12">
        <f>(G694-4)/(4-1)</f>
        <v>0</v>
      </c>
    </row>
    <row r="696" spans="1:9" x14ac:dyDescent="0.3">
      <c r="A696" s="24" t="s">
        <v>68</v>
      </c>
      <c r="B696" s="31"/>
      <c r="C696" s="31"/>
      <c r="D696" s="32"/>
      <c r="G696" s="14">
        <f>G695/0.9</f>
        <v>0</v>
      </c>
    </row>
    <row r="697" spans="1:9" x14ac:dyDescent="0.3">
      <c r="A697" s="1" t="s">
        <v>69</v>
      </c>
      <c r="G697" s="15" t="str">
        <f>IF('Input Responden'!B61="","Belum diisi",IF(G696&lt;=0.1,"Konsisten - dipakai","Tidak Konsisten - dikecualikan"))</f>
        <v>Belum diisi</v>
      </c>
    </row>
    <row r="699" spans="1:9" x14ac:dyDescent="0.3">
      <c r="A699" s="9" t="s">
        <v>127</v>
      </c>
      <c r="B699" s="30">
        <f>'Input Responden'!B62</f>
        <v>0</v>
      </c>
      <c r="C699" s="30"/>
      <c r="D699" s="30"/>
    </row>
    <row r="700" spans="1:9" x14ac:dyDescent="0.3">
      <c r="A700" s="10"/>
      <c r="B700" s="10" t="s">
        <v>58</v>
      </c>
      <c r="C700" s="10" t="s">
        <v>59</v>
      </c>
      <c r="D700" s="10" t="s">
        <v>60</v>
      </c>
      <c r="E700" s="10" t="s">
        <v>61</v>
      </c>
      <c r="F700" s="10"/>
      <c r="G700" s="10" t="s">
        <v>62</v>
      </c>
      <c r="H700" s="10" t="s">
        <v>63</v>
      </c>
      <c r="I700" s="10" t="s">
        <v>64</v>
      </c>
    </row>
    <row r="701" spans="1:9" x14ac:dyDescent="0.3">
      <c r="A701" s="10" t="s">
        <v>58</v>
      </c>
      <c r="B701" s="11">
        <v>1</v>
      </c>
      <c r="C701" s="11">
        <f>IF('Input Responden'!D62&gt;=0,IF('Input Responden'!D62=0,1,'Input Responden'!D62),1/ABS('Input Responden'!D62))</f>
        <v>1</v>
      </c>
      <c r="D701" s="11">
        <f>IF('Input Responden'!E62&gt;=0,IF('Input Responden'!E62=0,1,'Input Responden'!E62),1/ABS('Input Responden'!E62))</f>
        <v>1</v>
      </c>
      <c r="E701" s="11">
        <f>IF('Input Responden'!F62&gt;=0,IF('Input Responden'!F62=0,1,'Input Responden'!F62),1/ABS('Input Responden'!F62))</f>
        <v>1</v>
      </c>
      <c r="G701" s="12">
        <f>AVERAGE(B701/B$705,C701/C$705,D701/D$705,E701/E$705)</f>
        <v>0.25</v>
      </c>
      <c r="H701" s="11">
        <f>B701*$G$701+C701*$G$702+D701*$G$703+E701*$G$704</f>
        <v>1</v>
      </c>
      <c r="I701" s="11">
        <f>H701/G701</f>
        <v>4</v>
      </c>
    </row>
    <row r="702" spans="1:9" x14ac:dyDescent="0.3">
      <c r="A702" s="10" t="s">
        <v>59</v>
      </c>
      <c r="B702" s="11">
        <f>1/C701</f>
        <v>1</v>
      </c>
      <c r="C702" s="11">
        <v>1</v>
      </c>
      <c r="D702" s="11">
        <f>IF('Input Responden'!G62&gt;=0,IF('Input Responden'!G62=0,1,'Input Responden'!G62),1/ABS('Input Responden'!G62))</f>
        <v>1</v>
      </c>
      <c r="E702" s="11">
        <f>IF('Input Responden'!H62&gt;=0,IF('Input Responden'!H62=0,1,'Input Responden'!H62),1/ABS('Input Responden'!H62))</f>
        <v>1</v>
      </c>
      <c r="G702" s="12">
        <f>AVERAGE(B702/B$705,C702/C$705,D702/D$705,E702/E$705)</f>
        <v>0.25</v>
      </c>
      <c r="H702" s="11">
        <f>B702*$G$701+C702*$G$702+D702*$G$703+E702*$G$704</f>
        <v>1</v>
      </c>
      <c r="I702" s="11">
        <f>H702/G702</f>
        <v>4</v>
      </c>
    </row>
    <row r="703" spans="1:9" x14ac:dyDescent="0.3">
      <c r="A703" s="10" t="s">
        <v>60</v>
      </c>
      <c r="B703" s="11">
        <f>1/D701</f>
        <v>1</v>
      </c>
      <c r="C703" s="11">
        <f>1/D702</f>
        <v>1</v>
      </c>
      <c r="D703" s="11">
        <v>1</v>
      </c>
      <c r="E703" s="11">
        <f>IF('Input Responden'!I62&gt;=0,IF('Input Responden'!I62=0,1,'Input Responden'!I62),1/ABS('Input Responden'!I62))</f>
        <v>1</v>
      </c>
      <c r="G703" s="12">
        <f>AVERAGE(B703/B$705,C703/C$705,D703/D$705,E703/E$705)</f>
        <v>0.25</v>
      </c>
      <c r="H703" s="11">
        <f>B703*$G$701+C703*$G$702+D703*$G$703+E703*$G$704</f>
        <v>1</v>
      </c>
      <c r="I703" s="11">
        <f>H703/G703</f>
        <v>4</v>
      </c>
    </row>
    <row r="704" spans="1:9" x14ac:dyDescent="0.3">
      <c r="A704" s="10" t="s">
        <v>61</v>
      </c>
      <c r="B704" s="11">
        <f>1/E701</f>
        <v>1</v>
      </c>
      <c r="C704" s="11">
        <f>1/E702</f>
        <v>1</v>
      </c>
      <c r="D704" s="11">
        <f>1/E703</f>
        <v>1</v>
      </c>
      <c r="E704" s="11">
        <v>1</v>
      </c>
      <c r="G704" s="12">
        <f>AVERAGE(B704/B$705,C704/C$705,D704/D$705,E704/E$705)</f>
        <v>0.25</v>
      </c>
      <c r="H704" s="11">
        <f>B704*$G$701+C704*$G$702+D704*$G$703+E704*$G$704</f>
        <v>1</v>
      </c>
      <c r="I704" s="11">
        <f>H704/G704</f>
        <v>4</v>
      </c>
    </row>
    <row r="705" spans="1:9" x14ac:dyDescent="0.3">
      <c r="A705" s="13" t="s">
        <v>65</v>
      </c>
      <c r="B705" s="11">
        <f>SUM(B701:B704)</f>
        <v>4</v>
      </c>
      <c r="C705" s="11">
        <f>SUM(C701:C704)</f>
        <v>4</v>
      </c>
      <c r="D705" s="11">
        <f>SUM(D701:D704)</f>
        <v>4</v>
      </c>
      <c r="E705" s="11">
        <f>SUM(E701:E704)</f>
        <v>4</v>
      </c>
    </row>
    <row r="706" spans="1:9" x14ac:dyDescent="0.3">
      <c r="A706" s="1" t="s">
        <v>66</v>
      </c>
      <c r="G706" s="12">
        <f>AVERAGE(I701:I704)</f>
        <v>4</v>
      </c>
    </row>
    <row r="707" spans="1:9" x14ac:dyDescent="0.3">
      <c r="A707" s="1" t="s">
        <v>67</v>
      </c>
      <c r="G707" s="12">
        <f>(G706-4)/(4-1)</f>
        <v>0</v>
      </c>
    </row>
    <row r="708" spans="1:9" x14ac:dyDescent="0.3">
      <c r="A708" s="24" t="s">
        <v>68</v>
      </c>
      <c r="B708" s="31"/>
      <c r="C708" s="31"/>
      <c r="D708" s="32"/>
      <c r="G708" s="14">
        <f>G707/0.9</f>
        <v>0</v>
      </c>
    </row>
    <row r="709" spans="1:9" x14ac:dyDescent="0.3">
      <c r="A709" s="1" t="s">
        <v>69</v>
      </c>
      <c r="G709" s="15" t="str">
        <f>IF('Input Responden'!B62="","Belum diisi",IF(G708&lt;=0.1,"Konsisten - dipakai","Tidak Konsisten - dikecualikan"))</f>
        <v>Belum diisi</v>
      </c>
    </row>
    <row r="711" spans="1:9" x14ac:dyDescent="0.3">
      <c r="A711" s="9" t="s">
        <v>128</v>
      </c>
      <c r="B711" s="30">
        <f>'Input Responden'!B63</f>
        <v>0</v>
      </c>
      <c r="C711" s="30"/>
      <c r="D711" s="30"/>
    </row>
    <row r="712" spans="1:9" x14ac:dyDescent="0.3">
      <c r="A712" s="10"/>
      <c r="B712" s="10" t="s">
        <v>58</v>
      </c>
      <c r="C712" s="10" t="s">
        <v>59</v>
      </c>
      <c r="D712" s="10" t="s">
        <v>60</v>
      </c>
      <c r="E712" s="10" t="s">
        <v>61</v>
      </c>
      <c r="F712" s="10"/>
      <c r="G712" s="10" t="s">
        <v>62</v>
      </c>
      <c r="H712" s="10" t="s">
        <v>63</v>
      </c>
      <c r="I712" s="10" t="s">
        <v>64</v>
      </c>
    </row>
    <row r="713" spans="1:9" x14ac:dyDescent="0.3">
      <c r="A713" s="10" t="s">
        <v>58</v>
      </c>
      <c r="B713" s="11">
        <v>1</v>
      </c>
      <c r="C713" s="11">
        <f>IF('Input Responden'!D63&gt;=0,IF('Input Responden'!D63=0,1,'Input Responden'!D63),1/ABS('Input Responden'!D63))</f>
        <v>1</v>
      </c>
      <c r="D713" s="11">
        <f>IF('Input Responden'!E63&gt;=0,IF('Input Responden'!E63=0,1,'Input Responden'!E63),1/ABS('Input Responden'!E63))</f>
        <v>1</v>
      </c>
      <c r="E713" s="11">
        <f>IF('Input Responden'!F63&gt;=0,IF('Input Responden'!F63=0,1,'Input Responden'!F63),1/ABS('Input Responden'!F63))</f>
        <v>1</v>
      </c>
      <c r="G713" s="12">
        <f>AVERAGE(B713/B$717,C713/C$717,D713/D$717,E713/E$717)</f>
        <v>0.25</v>
      </c>
      <c r="H713" s="11">
        <f>B713*$G$713+C713*$G$714+D713*$G$715+E713*$G$716</f>
        <v>1</v>
      </c>
      <c r="I713" s="11">
        <f>H713/G713</f>
        <v>4</v>
      </c>
    </row>
    <row r="714" spans="1:9" x14ac:dyDescent="0.3">
      <c r="A714" s="10" t="s">
        <v>59</v>
      </c>
      <c r="B714" s="11">
        <f>1/C713</f>
        <v>1</v>
      </c>
      <c r="C714" s="11">
        <v>1</v>
      </c>
      <c r="D714" s="11">
        <f>IF('Input Responden'!G63&gt;=0,IF('Input Responden'!G63=0,1,'Input Responden'!G63),1/ABS('Input Responden'!G63))</f>
        <v>1</v>
      </c>
      <c r="E714" s="11">
        <f>IF('Input Responden'!H63&gt;=0,IF('Input Responden'!H63=0,1,'Input Responden'!H63),1/ABS('Input Responden'!H63))</f>
        <v>1</v>
      </c>
      <c r="G714" s="12">
        <f>AVERAGE(B714/B$717,C714/C$717,D714/D$717,E714/E$717)</f>
        <v>0.25</v>
      </c>
      <c r="H714" s="11">
        <f>B714*$G$713+C714*$G$714+D714*$G$715+E714*$G$716</f>
        <v>1</v>
      </c>
      <c r="I714" s="11">
        <f>H714/G714</f>
        <v>4</v>
      </c>
    </row>
    <row r="715" spans="1:9" x14ac:dyDescent="0.3">
      <c r="A715" s="10" t="s">
        <v>60</v>
      </c>
      <c r="B715" s="11">
        <f>1/D713</f>
        <v>1</v>
      </c>
      <c r="C715" s="11">
        <f>1/D714</f>
        <v>1</v>
      </c>
      <c r="D715" s="11">
        <v>1</v>
      </c>
      <c r="E715" s="11">
        <f>IF('Input Responden'!I63&gt;=0,IF('Input Responden'!I63=0,1,'Input Responden'!I63),1/ABS('Input Responden'!I63))</f>
        <v>1</v>
      </c>
      <c r="G715" s="12">
        <f>AVERAGE(B715/B$717,C715/C$717,D715/D$717,E715/E$717)</f>
        <v>0.25</v>
      </c>
      <c r="H715" s="11">
        <f>B715*$G$713+C715*$G$714+D715*$G$715+E715*$G$716</f>
        <v>1</v>
      </c>
      <c r="I715" s="11">
        <f>H715/G715</f>
        <v>4</v>
      </c>
    </row>
    <row r="716" spans="1:9" x14ac:dyDescent="0.3">
      <c r="A716" s="10" t="s">
        <v>61</v>
      </c>
      <c r="B716" s="11">
        <f>1/E713</f>
        <v>1</v>
      </c>
      <c r="C716" s="11">
        <f>1/E714</f>
        <v>1</v>
      </c>
      <c r="D716" s="11">
        <f>1/E715</f>
        <v>1</v>
      </c>
      <c r="E716" s="11">
        <v>1</v>
      </c>
      <c r="G716" s="12">
        <f>AVERAGE(B716/B$717,C716/C$717,D716/D$717,E716/E$717)</f>
        <v>0.25</v>
      </c>
      <c r="H716" s="11">
        <f>B716*$G$713+C716*$G$714+D716*$G$715+E716*$G$716</f>
        <v>1</v>
      </c>
      <c r="I716" s="11">
        <f>H716/G716</f>
        <v>4</v>
      </c>
    </row>
    <row r="717" spans="1:9" x14ac:dyDescent="0.3">
      <c r="A717" s="13" t="s">
        <v>65</v>
      </c>
      <c r="B717" s="11">
        <f>SUM(B713:B716)</f>
        <v>4</v>
      </c>
      <c r="C717" s="11">
        <f>SUM(C713:C716)</f>
        <v>4</v>
      </c>
      <c r="D717" s="11">
        <f>SUM(D713:D716)</f>
        <v>4</v>
      </c>
      <c r="E717" s="11">
        <f>SUM(E713:E716)</f>
        <v>4</v>
      </c>
    </row>
    <row r="718" spans="1:9" x14ac:dyDescent="0.3">
      <c r="A718" s="1" t="s">
        <v>66</v>
      </c>
      <c r="G718" s="12">
        <f>AVERAGE(I713:I716)</f>
        <v>4</v>
      </c>
    </row>
    <row r="719" spans="1:9" x14ac:dyDescent="0.3">
      <c r="A719" s="1" t="s">
        <v>67</v>
      </c>
      <c r="G719" s="12">
        <f>(G718-4)/(4-1)</f>
        <v>0</v>
      </c>
    </row>
    <row r="720" spans="1:9" x14ac:dyDescent="0.3">
      <c r="A720" s="24" t="s">
        <v>68</v>
      </c>
      <c r="B720" s="31"/>
      <c r="C720" s="31"/>
      <c r="D720" s="32"/>
      <c r="G720" s="14">
        <f>G719/0.9</f>
        <v>0</v>
      </c>
    </row>
    <row r="721" spans="1:7" x14ac:dyDescent="0.3">
      <c r="A721" s="1" t="s">
        <v>69</v>
      </c>
      <c r="G721" s="15" t="str">
        <f>IF('Input Responden'!B63="","Belum diisi",IF(G720&lt;=0.1,"Konsisten - dipakai","Tidak Konsisten - dikecualikan"))</f>
        <v>Belum diisi</v>
      </c>
    </row>
  </sheetData>
  <mergeCells count="121">
    <mergeCell ref="B663:D663"/>
    <mergeCell ref="A660:D660"/>
    <mergeCell ref="B651:D651"/>
    <mergeCell ref="B699:D699"/>
    <mergeCell ref="A708:D708"/>
    <mergeCell ref="B711:D711"/>
    <mergeCell ref="A720:D720"/>
    <mergeCell ref="A696:D696"/>
    <mergeCell ref="B687:D687"/>
    <mergeCell ref="A684:D684"/>
    <mergeCell ref="B675:D675"/>
    <mergeCell ref="A672:D672"/>
    <mergeCell ref="A648:D648"/>
    <mergeCell ref="B591:D591"/>
    <mergeCell ref="A600:D600"/>
    <mergeCell ref="B603:D603"/>
    <mergeCell ref="A612:D612"/>
    <mergeCell ref="B615:D615"/>
    <mergeCell ref="A624:D624"/>
    <mergeCell ref="B627:D627"/>
    <mergeCell ref="A636:D636"/>
    <mergeCell ref="B639:D639"/>
    <mergeCell ref="A540:D540"/>
    <mergeCell ref="B543:D543"/>
    <mergeCell ref="A552:D552"/>
    <mergeCell ref="B555:D555"/>
    <mergeCell ref="A564:D564"/>
    <mergeCell ref="B567:D567"/>
    <mergeCell ref="A576:D576"/>
    <mergeCell ref="B579:D579"/>
    <mergeCell ref="A588:D588"/>
    <mergeCell ref="B483:D483"/>
    <mergeCell ref="A492:D492"/>
    <mergeCell ref="B495:D495"/>
    <mergeCell ref="A504:D504"/>
    <mergeCell ref="B507:D507"/>
    <mergeCell ref="A516:D516"/>
    <mergeCell ref="B519:D519"/>
    <mergeCell ref="A528:D528"/>
    <mergeCell ref="B531:D531"/>
    <mergeCell ref="A432:D432"/>
    <mergeCell ref="B435:D435"/>
    <mergeCell ref="A444:D444"/>
    <mergeCell ref="B447:D447"/>
    <mergeCell ref="A456:D456"/>
    <mergeCell ref="B459:D459"/>
    <mergeCell ref="A468:D468"/>
    <mergeCell ref="B471:D471"/>
    <mergeCell ref="A480:D480"/>
    <mergeCell ref="B375:D375"/>
    <mergeCell ref="A384:D384"/>
    <mergeCell ref="B387:D387"/>
    <mergeCell ref="A396:D396"/>
    <mergeCell ref="B399:D399"/>
    <mergeCell ref="A408:D408"/>
    <mergeCell ref="B411:D411"/>
    <mergeCell ref="A420:D420"/>
    <mergeCell ref="B423:D423"/>
    <mergeCell ref="A324:D324"/>
    <mergeCell ref="B327:D327"/>
    <mergeCell ref="A336:D336"/>
    <mergeCell ref="B339:D339"/>
    <mergeCell ref="A348:D348"/>
    <mergeCell ref="B351:D351"/>
    <mergeCell ref="A360:D360"/>
    <mergeCell ref="B363:D363"/>
    <mergeCell ref="A372:D372"/>
    <mergeCell ref="B267:D267"/>
    <mergeCell ref="A276:D276"/>
    <mergeCell ref="B279:D279"/>
    <mergeCell ref="A288:D288"/>
    <mergeCell ref="B291:D291"/>
    <mergeCell ref="A300:D300"/>
    <mergeCell ref="B303:D303"/>
    <mergeCell ref="A312:D312"/>
    <mergeCell ref="B315:D315"/>
    <mergeCell ref="A216:D216"/>
    <mergeCell ref="B219:D219"/>
    <mergeCell ref="A228:D228"/>
    <mergeCell ref="B231:D231"/>
    <mergeCell ref="A240:D240"/>
    <mergeCell ref="B243:D243"/>
    <mergeCell ref="A252:D252"/>
    <mergeCell ref="B255:D255"/>
    <mergeCell ref="A264:D264"/>
    <mergeCell ref="B159:D159"/>
    <mergeCell ref="A168:D168"/>
    <mergeCell ref="B171:D171"/>
    <mergeCell ref="A180:D180"/>
    <mergeCell ref="B183:D183"/>
    <mergeCell ref="A192:D192"/>
    <mergeCell ref="B195:D195"/>
    <mergeCell ref="A204:D204"/>
    <mergeCell ref="B207:D207"/>
    <mergeCell ref="A108:D108"/>
    <mergeCell ref="B111:D111"/>
    <mergeCell ref="A120:D120"/>
    <mergeCell ref="B123:D123"/>
    <mergeCell ref="A132:D132"/>
    <mergeCell ref="B135:D135"/>
    <mergeCell ref="A144:D144"/>
    <mergeCell ref="B147:D147"/>
    <mergeCell ref="A156:D156"/>
    <mergeCell ref="B51:D51"/>
    <mergeCell ref="A60:D60"/>
    <mergeCell ref="B63:D63"/>
    <mergeCell ref="A72:D72"/>
    <mergeCell ref="B75:D75"/>
    <mergeCell ref="A84:D84"/>
    <mergeCell ref="B87:D87"/>
    <mergeCell ref="A96:D96"/>
    <mergeCell ref="B99:D99"/>
    <mergeCell ref="A1:I1"/>
    <mergeCell ref="B3:D3"/>
    <mergeCell ref="A12:D12"/>
    <mergeCell ref="B15:D15"/>
    <mergeCell ref="A24:D24"/>
    <mergeCell ref="B27:D27"/>
    <mergeCell ref="A36:D36"/>
    <mergeCell ref="B39:D39"/>
    <mergeCell ref="A48:D48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3"/>
  <sheetViews>
    <sheetView showGridLines="0" tabSelected="1" zoomScaleNormal="100" workbookViewId="0">
      <pane ySplit="3" topLeftCell="A54" activePane="bottomLeft" state="frozen"/>
      <selection pane="bottomLeft" activeCell="E56" sqref="E56"/>
    </sheetView>
  </sheetViews>
  <sheetFormatPr defaultColWidth="8.6640625" defaultRowHeight="14.4" x14ac:dyDescent="0.3"/>
  <cols>
    <col min="1" max="1" width="38.5546875" bestFit="1" customWidth="1"/>
    <col min="2" max="2" width="22" customWidth="1"/>
    <col min="3" max="6" width="12" customWidth="1"/>
    <col min="7" max="7" width="14" customWidth="1"/>
    <col min="8" max="8" width="26" customWidth="1"/>
  </cols>
  <sheetData>
    <row r="1" spans="1:8" ht="24" customHeight="1" x14ac:dyDescent="0.3">
      <c r="A1" s="23" t="s">
        <v>129</v>
      </c>
      <c r="B1" s="23"/>
      <c r="C1" s="23"/>
      <c r="D1" s="23"/>
      <c r="E1" s="23"/>
      <c r="F1" s="23"/>
      <c r="G1" s="23"/>
      <c r="H1" s="23"/>
    </row>
    <row r="3" spans="1:8" x14ac:dyDescent="0.3">
      <c r="A3" s="5" t="s">
        <v>46</v>
      </c>
      <c r="B3" s="5" t="s">
        <v>47</v>
      </c>
      <c r="C3" s="5" t="s">
        <v>130</v>
      </c>
      <c r="D3" s="5" t="s">
        <v>131</v>
      </c>
      <c r="E3" s="5" t="s">
        <v>132</v>
      </c>
      <c r="F3" s="5" t="s">
        <v>133</v>
      </c>
      <c r="G3" s="5" t="s">
        <v>134</v>
      </c>
      <c r="H3" s="5" t="s">
        <v>69</v>
      </c>
    </row>
    <row r="4" spans="1:8" x14ac:dyDescent="0.3">
      <c r="A4" s="6">
        <v>1</v>
      </c>
      <c r="B4" s="6" t="str">
        <f>'Perhitungan Detail'!B3</f>
        <v>Verina</v>
      </c>
      <c r="C4" s="12">
        <f>'Perhitungan Detail'!G5</f>
        <v>0.31634615384615383</v>
      </c>
      <c r="D4" s="12">
        <f>'Perhitungan Detail'!G6</f>
        <v>0.31634615384615383</v>
      </c>
      <c r="E4" s="12">
        <f>'Perhitungan Detail'!G7</f>
        <v>0.24134615384615385</v>
      </c>
      <c r="F4" s="12">
        <f>'Perhitungan Detail'!G8</f>
        <v>0.12596153846153846</v>
      </c>
      <c r="G4" s="12">
        <f>'Perhitungan Detail'!G12</f>
        <v>9.5039650057357219E-2</v>
      </c>
      <c r="H4" s="6" t="str">
        <f>'Perhitungan Detail'!G13</f>
        <v>Konsisten - dipakai</v>
      </c>
    </row>
    <row r="5" spans="1:8" x14ac:dyDescent="0.3">
      <c r="A5" s="6">
        <v>2</v>
      </c>
      <c r="B5" s="6" t="str">
        <f>'Perhitungan Detail'!B15</f>
        <v>Agung Ginansah</v>
      </c>
      <c r="C5" s="12">
        <f>'Perhitungan Detail'!G17</f>
        <v>0.1111111111111111</v>
      </c>
      <c r="D5" s="12">
        <f>'Perhitungan Detail'!G18</f>
        <v>0.22222222222222224</v>
      </c>
      <c r="E5" s="12">
        <f>'Perhitungan Detail'!G19</f>
        <v>0.44444444444444448</v>
      </c>
      <c r="F5" s="12">
        <f>'Perhitungan Detail'!G20</f>
        <v>0.22222222222222221</v>
      </c>
      <c r="G5" s="12">
        <f>'Perhitungan Detail'!G24</f>
        <v>0.26388888888888901</v>
      </c>
      <c r="H5" s="6" t="str">
        <f>'Perhitungan Detail'!G25</f>
        <v>Tidak Konsisten - dikecualikan</v>
      </c>
    </row>
    <row r="6" spans="1:8" x14ac:dyDescent="0.3">
      <c r="A6" s="6">
        <v>3</v>
      </c>
      <c r="B6" s="6" t="str">
        <f>'Perhitungan Detail'!B27</f>
        <v>Andi</v>
      </c>
      <c r="C6" s="12">
        <f>'Perhitungan Detail'!G29</f>
        <v>7.3065448065448069E-2</v>
      </c>
      <c r="D6" s="12">
        <f>'Perhitungan Detail'!G30</f>
        <v>0.15102802602802604</v>
      </c>
      <c r="E6" s="12">
        <f>'Perhitungan Detail'!G31</f>
        <v>0.26620001620001621</v>
      </c>
      <c r="F6" s="12">
        <f>'Perhitungan Detail'!G32</f>
        <v>0.50970650970650966</v>
      </c>
      <c r="G6" s="12">
        <f>'Perhitungan Detail'!G36</f>
        <v>0.19303240027667945</v>
      </c>
      <c r="H6" s="6" t="str">
        <f>'Perhitungan Detail'!G37</f>
        <v>Tidak Konsisten - dikecualikan</v>
      </c>
    </row>
    <row r="7" spans="1:8" x14ac:dyDescent="0.3">
      <c r="A7" s="6">
        <v>4</v>
      </c>
      <c r="B7" s="6" t="str">
        <f>'Perhitungan Detail'!B39</f>
        <v>Sarwo edi Wibowo</v>
      </c>
      <c r="C7" s="12">
        <f>'Perhitungan Detail'!G41</f>
        <v>0.3125</v>
      </c>
      <c r="D7" s="12">
        <f>'Perhitungan Detail'!G42</f>
        <v>0.3125</v>
      </c>
      <c r="E7" s="12">
        <f>'Perhitungan Detail'!G43</f>
        <v>0.3125</v>
      </c>
      <c r="F7" s="12">
        <f>'Perhitungan Detail'!G44</f>
        <v>6.25E-2</v>
      </c>
      <c r="G7" s="12">
        <f>'Perhitungan Detail'!G48</f>
        <v>0</v>
      </c>
      <c r="H7" s="6" t="str">
        <f>'Perhitungan Detail'!G49</f>
        <v>Konsisten - dipakai</v>
      </c>
    </row>
    <row r="8" spans="1:8" x14ac:dyDescent="0.3">
      <c r="A8" s="6">
        <v>5</v>
      </c>
      <c r="B8" s="6" t="str">
        <f>'Perhitungan Detail'!B51</f>
        <v>Firman Ainur Rasyit</v>
      </c>
      <c r="C8" s="12">
        <f>'Perhitungan Detail'!G53</f>
        <v>0.54563492063492069</v>
      </c>
      <c r="D8" s="12">
        <f>'Perhitungan Detail'!G54</f>
        <v>0.16468253968253968</v>
      </c>
      <c r="E8" s="12">
        <f>'Perhitungan Detail'!G55</f>
        <v>9.1269841269841279E-2</v>
      </c>
      <c r="F8" s="12">
        <f>'Perhitungan Detail'!G56</f>
        <v>0.19841269841269843</v>
      </c>
      <c r="G8" s="12">
        <f>'Perhitungan Detail'!G60</f>
        <v>0.43784906865053536</v>
      </c>
      <c r="H8" s="6" t="str">
        <f>'Perhitungan Detail'!G61</f>
        <v>Tidak Konsisten - dikecualikan</v>
      </c>
    </row>
    <row r="9" spans="1:8" x14ac:dyDescent="0.3">
      <c r="A9" s="6">
        <v>6</v>
      </c>
      <c r="B9" s="6" t="str">
        <f>'Perhitungan Detail'!B63</f>
        <v>Deny</v>
      </c>
      <c r="C9" s="12">
        <f>'Perhitungan Detail'!G65</f>
        <v>0.21884615384615386</v>
      </c>
      <c r="D9" s="12">
        <f>'Perhitungan Detail'!G66</f>
        <v>0.29384615384615387</v>
      </c>
      <c r="E9" s="12">
        <f>'Perhitungan Detail'!G67</f>
        <v>0.41384615384615386</v>
      </c>
      <c r="F9" s="12">
        <f>'Perhitungan Detail'!G68</f>
        <v>7.3461538461538467E-2</v>
      </c>
      <c r="G9" s="12">
        <f>'Perhitungan Detail'!G72</f>
        <v>9.2571383298994503E-2</v>
      </c>
      <c r="H9" s="6" t="str">
        <f>'Perhitungan Detail'!G73</f>
        <v>Konsisten - dipakai</v>
      </c>
    </row>
    <row r="10" spans="1:8" x14ac:dyDescent="0.3">
      <c r="A10" s="6">
        <v>7</v>
      </c>
      <c r="B10" s="6" t="str">
        <f>'Perhitungan Detail'!B75</f>
        <v>Eko Sukamto</v>
      </c>
      <c r="C10" s="12">
        <f>'Perhitungan Detail'!G77</f>
        <v>0.25</v>
      </c>
      <c r="D10" s="12">
        <f>'Perhitungan Detail'!G78</f>
        <v>0.25</v>
      </c>
      <c r="E10" s="12">
        <f>'Perhitungan Detail'!G79</f>
        <v>0.25</v>
      </c>
      <c r="F10" s="12">
        <f>'Perhitungan Detail'!G80</f>
        <v>0.25</v>
      </c>
      <c r="G10" s="12">
        <f>'Perhitungan Detail'!G84</f>
        <v>0</v>
      </c>
      <c r="H10" s="6" t="str">
        <f>'Perhitungan Detail'!G85</f>
        <v>Konsisten - dipakai</v>
      </c>
    </row>
    <row r="11" spans="1:8" x14ac:dyDescent="0.3">
      <c r="A11" s="6">
        <v>8</v>
      </c>
      <c r="B11" s="6" t="str">
        <f>'Perhitungan Detail'!B87</f>
        <v>FERI HARIYANTO</v>
      </c>
      <c r="C11" s="12">
        <f>'Perhitungan Detail'!G89</f>
        <v>0.39090909090909093</v>
      </c>
      <c r="D11" s="12">
        <f>'Perhitungan Detail'!G90</f>
        <v>0.20340909090909093</v>
      </c>
      <c r="E11" s="12">
        <f>'Perhitungan Detail'!G91</f>
        <v>0.27045454545454545</v>
      </c>
      <c r="F11" s="12">
        <f>'Perhitungan Detail'!G92</f>
        <v>0.13522727272727272</v>
      </c>
      <c r="G11" s="12">
        <f>'Perhitungan Detail'!G96</f>
        <v>9.1941560955940208E-2</v>
      </c>
      <c r="H11" s="6" t="str">
        <f>'Perhitungan Detail'!G97</f>
        <v>Konsisten - dipakai</v>
      </c>
    </row>
    <row r="12" spans="1:8" x14ac:dyDescent="0.3">
      <c r="A12" s="6">
        <v>9</v>
      </c>
      <c r="B12" s="6" t="str">
        <f>'Perhitungan Detail'!B99</f>
        <v>Glanny Sosbeldab Tatali</v>
      </c>
      <c r="C12" s="12">
        <f>'Perhitungan Detail'!G101</f>
        <v>0.23958333333333334</v>
      </c>
      <c r="D12" s="12">
        <f>'Perhitungan Detail'!G102</f>
        <v>0.32291666666666669</v>
      </c>
      <c r="E12" s="12">
        <f>'Perhitungan Detail'!G103</f>
        <v>0.32291666666666669</v>
      </c>
      <c r="F12" s="12">
        <f>'Perhitungan Detail'!G104</f>
        <v>0.11458333333333333</v>
      </c>
      <c r="G12" s="12">
        <f>'Perhitungan Detail'!G108</f>
        <v>0.13188453020150079</v>
      </c>
      <c r="H12" s="6" t="str">
        <f>'Perhitungan Detail'!G109</f>
        <v>Tidak Konsisten - dikecualikan</v>
      </c>
    </row>
    <row r="13" spans="1:8" x14ac:dyDescent="0.3">
      <c r="A13" s="6">
        <v>10</v>
      </c>
      <c r="B13" s="6" t="str">
        <f>'Perhitungan Detail'!B111</f>
        <v xml:space="preserve">Luthfi Setyawan </v>
      </c>
      <c r="C13" s="12">
        <f>'Perhitungan Detail'!G113</f>
        <v>0.53213425330146769</v>
      </c>
      <c r="D13" s="12">
        <f>'Perhitungan Detail'!G114</f>
        <v>0.25588337239942399</v>
      </c>
      <c r="E13" s="12">
        <f>'Perhitungan Detail'!G115</f>
        <v>0.15286762340288629</v>
      </c>
      <c r="F13" s="12">
        <f>'Perhitungan Detail'!G116</f>
        <v>5.9114750896222083E-2</v>
      </c>
      <c r="G13" s="12">
        <f>'Perhitungan Detail'!G120</f>
        <v>0.22916959468771317</v>
      </c>
      <c r="H13" s="6" t="str">
        <f>'Perhitungan Detail'!G121</f>
        <v>Tidak Konsisten - dikecualikan</v>
      </c>
    </row>
    <row r="14" spans="1:8" x14ac:dyDescent="0.3">
      <c r="A14" s="6">
        <v>11</v>
      </c>
      <c r="B14" s="6" t="str">
        <f>'Perhitungan Detail'!B123</f>
        <v xml:space="preserve">Satrio Dwi Nugroho </v>
      </c>
      <c r="C14" s="12">
        <f>'Perhitungan Detail'!G125</f>
        <v>0.3324175824175824</v>
      </c>
      <c r="D14" s="12">
        <f>'Perhitungan Detail'!G126</f>
        <v>0.3324175824175824</v>
      </c>
      <c r="E14" s="12">
        <f>'Perhitungan Detail'!G127</f>
        <v>0.1675824175824176</v>
      </c>
      <c r="F14" s="12">
        <f>'Perhitungan Detail'!G128</f>
        <v>0.1675824175824176</v>
      </c>
      <c r="G14" s="12">
        <f>'Perhitungan Detail'!G132</f>
        <v>0.1852165469900196</v>
      </c>
      <c r="H14" s="6" t="str">
        <f>'Perhitungan Detail'!G133</f>
        <v>Tidak Konsisten - dikecualikan</v>
      </c>
    </row>
    <row r="15" spans="1:8" x14ac:dyDescent="0.3">
      <c r="A15" s="6">
        <v>12</v>
      </c>
      <c r="B15" s="6" t="str">
        <f>'Perhitungan Detail'!B135</f>
        <v>Alvaro Walewangko</v>
      </c>
      <c r="C15" s="12">
        <f>'Perhitungan Detail'!G137</f>
        <v>5.9151785714285712E-2</v>
      </c>
      <c r="D15" s="12">
        <f>'Perhitungan Detail'!G138</f>
        <v>0.13950892857142858</v>
      </c>
      <c r="E15" s="12">
        <f>'Perhitungan Detail'!G139</f>
        <v>0.26004464285714285</v>
      </c>
      <c r="F15" s="12">
        <f>'Perhitungan Detail'!G140</f>
        <v>0.54129464285714279</v>
      </c>
      <c r="G15" s="12">
        <f>'Perhitungan Detail'!G144</f>
        <v>0.27065712774809947</v>
      </c>
      <c r="H15" s="6" t="str">
        <f>'Perhitungan Detail'!G145</f>
        <v>Tidak Konsisten - dikecualikan</v>
      </c>
    </row>
    <row r="16" spans="1:8" x14ac:dyDescent="0.3">
      <c r="A16" s="6">
        <v>13</v>
      </c>
      <c r="B16" s="6" t="str">
        <f>'Perhitungan Detail'!B147</f>
        <v>Aditya mulyanto</v>
      </c>
      <c r="C16" s="12">
        <f>'Perhitungan Detail'!G149</f>
        <v>0.54129464285714279</v>
      </c>
      <c r="D16" s="12">
        <f>'Perhitungan Detail'!G150</f>
        <v>0.26004464285714285</v>
      </c>
      <c r="E16" s="12">
        <f>'Perhitungan Detail'!G151</f>
        <v>0.13950892857142858</v>
      </c>
      <c r="F16" s="12">
        <f>'Perhitungan Detail'!G152</f>
        <v>5.9151785714285719E-2</v>
      </c>
      <c r="G16" s="12">
        <f>'Perhitungan Detail'!G156</f>
        <v>0.2706571277480998</v>
      </c>
      <c r="H16" s="6" t="str">
        <f>'Perhitungan Detail'!G157</f>
        <v>Tidak Konsisten - dikecualikan</v>
      </c>
    </row>
    <row r="17" spans="1:8" x14ac:dyDescent="0.3">
      <c r="A17" s="6">
        <v>14</v>
      </c>
      <c r="B17" s="6" t="str">
        <f>'Perhitungan Detail'!B159</f>
        <v xml:space="preserve">RIKKI APRIANTO SADIA </v>
      </c>
      <c r="C17" s="12">
        <f>'Perhitungan Detail'!G161</f>
        <v>0.54129464285714279</v>
      </c>
      <c r="D17" s="12">
        <f>'Perhitungan Detail'!G162</f>
        <v>0.26004464285714285</v>
      </c>
      <c r="E17" s="12">
        <f>'Perhitungan Detail'!G163</f>
        <v>0.13950892857142858</v>
      </c>
      <c r="F17" s="12">
        <f>'Perhitungan Detail'!G164</f>
        <v>5.9151785714285719E-2</v>
      </c>
      <c r="G17" s="12">
        <f>'Perhitungan Detail'!G168</f>
        <v>0.2706571277480998</v>
      </c>
      <c r="H17" s="6" t="str">
        <f>'Perhitungan Detail'!G169</f>
        <v>Tidak Konsisten - dikecualikan</v>
      </c>
    </row>
    <row r="18" spans="1:8" x14ac:dyDescent="0.3">
      <c r="A18" s="6">
        <v>15</v>
      </c>
      <c r="B18" s="6" t="str">
        <f>'Perhitungan Detail'!B171</f>
        <v xml:space="preserve">MUH.YUSUF KALLA </v>
      </c>
      <c r="C18" s="12">
        <f>'Perhitungan Detail'!G173</f>
        <v>0.54129464285714279</v>
      </c>
      <c r="D18" s="12">
        <f>'Perhitungan Detail'!G174</f>
        <v>0.26004464285714285</v>
      </c>
      <c r="E18" s="12">
        <f>'Perhitungan Detail'!G175</f>
        <v>0.13950892857142858</v>
      </c>
      <c r="F18" s="12">
        <f>'Perhitungan Detail'!G176</f>
        <v>5.9151785714285719E-2</v>
      </c>
      <c r="G18" s="12">
        <f>'Perhitungan Detail'!G180</f>
        <v>0.2706571277480998</v>
      </c>
      <c r="H18" s="6" t="str">
        <f>'Perhitungan Detail'!G181</f>
        <v>Tidak Konsisten - dikecualikan</v>
      </c>
    </row>
    <row r="19" spans="1:8" x14ac:dyDescent="0.3">
      <c r="A19" s="6">
        <v>16</v>
      </c>
      <c r="B19" s="6" t="str">
        <f>'Perhitungan Detail'!B183</f>
        <v>MUH HUSAIN FAUZAN</v>
      </c>
      <c r="C19" s="12">
        <f>'Perhitungan Detail'!G185</f>
        <v>0.25</v>
      </c>
      <c r="D19" s="12">
        <f>'Perhitungan Detail'!G186</f>
        <v>0.25</v>
      </c>
      <c r="E19" s="12">
        <f>'Perhitungan Detail'!G187</f>
        <v>0.25</v>
      </c>
      <c r="F19" s="12">
        <f>'Perhitungan Detail'!G188</f>
        <v>0.25</v>
      </c>
      <c r="G19" s="12">
        <f>'Perhitungan Detail'!G192</f>
        <v>0</v>
      </c>
      <c r="H19" s="6" t="str">
        <f>'Perhitungan Detail'!G193</f>
        <v>Konsisten - dipakai</v>
      </c>
    </row>
    <row r="20" spans="1:8" x14ac:dyDescent="0.3">
      <c r="A20" s="6">
        <v>17</v>
      </c>
      <c r="B20" s="6" t="str">
        <f>'Perhitungan Detail'!B195</f>
        <v xml:space="preserve">ROKI SAPUTRA </v>
      </c>
      <c r="C20" s="12">
        <f>'Perhitungan Detail'!G197</f>
        <v>0.54129464285714279</v>
      </c>
      <c r="D20" s="12">
        <f>'Perhitungan Detail'!G198</f>
        <v>0.26004464285714285</v>
      </c>
      <c r="E20" s="12">
        <f>'Perhitungan Detail'!G199</f>
        <v>0.13950892857142858</v>
      </c>
      <c r="F20" s="12">
        <f>'Perhitungan Detail'!G200</f>
        <v>5.9151785714285719E-2</v>
      </c>
      <c r="G20" s="12">
        <f>'Perhitungan Detail'!G204</f>
        <v>0.2706571277480998</v>
      </c>
      <c r="H20" s="6" t="str">
        <f>'Perhitungan Detail'!G205</f>
        <v>Tidak Konsisten - dikecualikan</v>
      </c>
    </row>
    <row r="21" spans="1:8" x14ac:dyDescent="0.3">
      <c r="A21" s="6">
        <v>18</v>
      </c>
      <c r="B21" s="6" t="str">
        <f>'Perhitungan Detail'!B207</f>
        <v>Dimas</v>
      </c>
      <c r="C21" s="12">
        <f>'Perhitungan Detail'!G209</f>
        <v>0.25</v>
      </c>
      <c r="D21" s="12">
        <f>'Perhitungan Detail'!G210</f>
        <v>0.25</v>
      </c>
      <c r="E21" s="12">
        <f>'Perhitungan Detail'!G211</f>
        <v>0.25</v>
      </c>
      <c r="F21" s="12">
        <f>'Perhitungan Detail'!G212</f>
        <v>0.25</v>
      </c>
      <c r="G21" s="12">
        <f>'Perhitungan Detail'!G216</f>
        <v>0</v>
      </c>
      <c r="H21" s="6" t="str">
        <f>'Perhitungan Detail'!G217</f>
        <v>Konsisten - dipakai</v>
      </c>
    </row>
    <row r="22" spans="1:8" x14ac:dyDescent="0.3">
      <c r="A22" s="6">
        <v>19</v>
      </c>
      <c r="B22" s="6" t="str">
        <f>'Perhitungan Detail'!B219</f>
        <v>Fandi</v>
      </c>
      <c r="C22" s="12">
        <f>'Perhitungan Detail'!G221</f>
        <v>0.462987012987013</v>
      </c>
      <c r="D22" s="12">
        <f>'Perhitungan Detail'!G222</f>
        <v>0.27251082251082254</v>
      </c>
      <c r="E22" s="12">
        <f>'Perhitungan Detail'!G223</f>
        <v>0.16861471861471861</v>
      </c>
      <c r="F22" s="12">
        <f>'Perhitungan Detail'!G224</f>
        <v>9.588744588744591E-2</v>
      </c>
      <c r="G22" s="12">
        <f>'Perhitungan Detail'!G228</f>
        <v>0.1167425489599424</v>
      </c>
      <c r="H22" s="6" t="str">
        <f>'Perhitungan Detail'!G229</f>
        <v>Tidak Konsisten - dikecualikan</v>
      </c>
    </row>
    <row r="23" spans="1:8" x14ac:dyDescent="0.3">
      <c r="A23" s="6">
        <v>20</v>
      </c>
      <c r="B23" s="6" t="str">
        <f>'Perhitungan Detail'!B231</f>
        <v xml:space="preserve">ACHMAD SHOLEH </v>
      </c>
      <c r="C23" s="12">
        <f>'Perhitungan Detail'!G233</f>
        <v>0.54129464285714279</v>
      </c>
      <c r="D23" s="12">
        <f>'Perhitungan Detail'!G234</f>
        <v>0.13950892857142858</v>
      </c>
      <c r="E23" s="12">
        <f>'Perhitungan Detail'!G235</f>
        <v>0.2600446428571429</v>
      </c>
      <c r="F23" s="12">
        <f>'Perhitungan Detail'!G236</f>
        <v>5.9151785714285719E-2</v>
      </c>
      <c r="G23" s="12">
        <f>'Perhitungan Detail'!G240</f>
        <v>0.2706571277480998</v>
      </c>
      <c r="H23" s="6" t="str">
        <f>'Perhitungan Detail'!G241</f>
        <v>Tidak Konsisten - dikecualikan</v>
      </c>
    </row>
    <row r="24" spans="1:8" x14ac:dyDescent="0.3">
      <c r="A24" s="6">
        <v>21</v>
      </c>
      <c r="B24" s="6" t="str">
        <f>'Perhitungan Detail'!B243</f>
        <v>Sulaeman</v>
      </c>
      <c r="C24" s="12">
        <f>'Perhitungan Detail'!G245</f>
        <v>7.3065448065448069E-2</v>
      </c>
      <c r="D24" s="12">
        <f>'Perhitungan Detail'!G246</f>
        <v>0.15102802602802604</v>
      </c>
      <c r="E24" s="12">
        <f>'Perhitungan Detail'!G247</f>
        <v>0.26620001620001621</v>
      </c>
      <c r="F24" s="12">
        <f>'Perhitungan Detail'!G248</f>
        <v>0.50970650970650966</v>
      </c>
      <c r="G24" s="12">
        <f>'Perhitungan Detail'!G252</f>
        <v>0.19303240027667945</v>
      </c>
      <c r="H24" s="6" t="str">
        <f>'Perhitungan Detail'!G253</f>
        <v>Tidak Konsisten - dikecualikan</v>
      </c>
    </row>
    <row r="25" spans="1:8" x14ac:dyDescent="0.3">
      <c r="A25" s="6">
        <v>22</v>
      </c>
      <c r="B25" s="6" t="str">
        <f>'Perhitungan Detail'!B255</f>
        <v xml:space="preserve">Suharyadih </v>
      </c>
      <c r="C25" s="12">
        <f>'Perhitungan Detail'!G257</f>
        <v>0.54129464285714279</v>
      </c>
      <c r="D25" s="12">
        <f>'Perhitungan Detail'!G258</f>
        <v>0.26004464285714285</v>
      </c>
      <c r="E25" s="12">
        <f>'Perhitungan Detail'!G259</f>
        <v>0.13950892857142858</v>
      </c>
      <c r="F25" s="12">
        <f>'Perhitungan Detail'!G260</f>
        <v>5.9151785714285719E-2</v>
      </c>
      <c r="G25" s="12">
        <f>'Perhitungan Detail'!G264</f>
        <v>0.2706571277480998</v>
      </c>
      <c r="H25" s="6" t="str">
        <f>'Perhitungan Detail'!G265</f>
        <v>Tidak Konsisten - dikecualikan</v>
      </c>
    </row>
    <row r="26" spans="1:8" x14ac:dyDescent="0.3">
      <c r="A26" s="6">
        <v>23</v>
      </c>
      <c r="B26" s="6" t="str">
        <f>'Perhitungan Detail'!B267</f>
        <v xml:space="preserve">Iksan sanjaya </v>
      </c>
      <c r="C26" s="12">
        <f>'Perhitungan Detail'!G269</f>
        <v>0.54129464285714279</v>
      </c>
      <c r="D26" s="12">
        <f>'Perhitungan Detail'!G270</f>
        <v>0.26004464285714285</v>
      </c>
      <c r="E26" s="12">
        <f>'Perhitungan Detail'!G271</f>
        <v>0.13950892857142858</v>
      </c>
      <c r="F26" s="12">
        <f>'Perhitungan Detail'!G272</f>
        <v>5.9151785714285719E-2</v>
      </c>
      <c r="G26" s="12">
        <f>'Perhitungan Detail'!G276</f>
        <v>0.2706571277480998</v>
      </c>
      <c r="H26" s="6" t="str">
        <f>'Perhitungan Detail'!G277</f>
        <v>Tidak Konsisten - dikecualikan</v>
      </c>
    </row>
    <row r="27" spans="1:8" x14ac:dyDescent="0.3">
      <c r="A27" s="6">
        <v>24</v>
      </c>
      <c r="B27" s="6" t="str">
        <f>'Perhitungan Detail'!B279</f>
        <v>Tri Candra</v>
      </c>
      <c r="C27" s="12">
        <f>'Perhitungan Detail'!G281</f>
        <v>0.462987012987013</v>
      </c>
      <c r="D27" s="12">
        <f>'Perhitungan Detail'!G282</f>
        <v>0.27251082251082254</v>
      </c>
      <c r="E27" s="12">
        <f>'Perhitungan Detail'!G283</f>
        <v>0.16861471861471861</v>
      </c>
      <c r="F27" s="12">
        <f>'Perhitungan Detail'!G284</f>
        <v>9.588744588744591E-2</v>
      </c>
      <c r="G27" s="12">
        <f>'Perhitungan Detail'!G288</f>
        <v>0.1167425489599424</v>
      </c>
      <c r="H27" s="6" t="str">
        <f>'Perhitungan Detail'!G289</f>
        <v>Tidak Konsisten - dikecualikan</v>
      </c>
    </row>
    <row r="28" spans="1:8" x14ac:dyDescent="0.3">
      <c r="A28" s="6">
        <v>25</v>
      </c>
      <c r="B28" s="6" t="str">
        <f>'Perhitungan Detail'!B291</f>
        <v>Taufan IM</v>
      </c>
      <c r="C28" s="12">
        <f>'Perhitungan Detail'!G293</f>
        <v>0.25</v>
      </c>
      <c r="D28" s="12">
        <f>'Perhitungan Detail'!G294</f>
        <v>0.25</v>
      </c>
      <c r="E28" s="12">
        <f>'Perhitungan Detail'!G295</f>
        <v>0.25</v>
      </c>
      <c r="F28" s="12">
        <f>'Perhitungan Detail'!G296</f>
        <v>0.25</v>
      </c>
      <c r="G28" s="12">
        <f>'Perhitungan Detail'!G300</f>
        <v>0</v>
      </c>
      <c r="H28" s="6" t="str">
        <f>'Perhitungan Detail'!G301</f>
        <v>Konsisten - dipakai</v>
      </c>
    </row>
    <row r="29" spans="1:8" x14ac:dyDescent="0.3">
      <c r="A29" s="6">
        <v>26</v>
      </c>
      <c r="B29" s="6" t="str">
        <f>'Perhitungan Detail'!B303</f>
        <v>Nurdin</v>
      </c>
      <c r="C29" s="12">
        <f>'Perhitungan Detail'!G305</f>
        <v>0.17760617760617758</v>
      </c>
      <c r="D29" s="12">
        <f>'Perhitungan Detail'!G306</f>
        <v>0.17760617760617761</v>
      </c>
      <c r="E29" s="12">
        <f>'Perhitungan Detail'!G307</f>
        <v>0.46718146718146719</v>
      </c>
      <c r="F29" s="12">
        <f>'Perhitungan Detail'!G308</f>
        <v>0.17760617760617761</v>
      </c>
      <c r="G29" s="12">
        <f>'Perhitungan Detail'!G312</f>
        <v>0.67451940352137973</v>
      </c>
      <c r="H29" s="6" t="str">
        <f>'Perhitungan Detail'!G313</f>
        <v>Tidak Konsisten - dikecualikan</v>
      </c>
    </row>
    <row r="30" spans="1:8" x14ac:dyDescent="0.3">
      <c r="A30" s="6">
        <v>27</v>
      </c>
      <c r="B30" s="6" t="str">
        <f>'Perhitungan Detail'!B315</f>
        <v>Agus Setia</v>
      </c>
      <c r="C30" s="12">
        <f>'Perhitungan Detail'!G317</f>
        <v>0.31914735591206178</v>
      </c>
      <c r="D30" s="12">
        <f>'Perhitungan Detail'!G318</f>
        <v>0.28464795008912658</v>
      </c>
      <c r="E30" s="12">
        <f>'Perhitungan Detail'!G319</f>
        <v>6.0791740938799764E-2</v>
      </c>
      <c r="F30" s="12">
        <f>'Perhitungan Detail'!G320</f>
        <v>0.33541295306001184</v>
      </c>
      <c r="G30" s="12">
        <f>'Perhitungan Detail'!G324</f>
        <v>0.56618405374314806</v>
      </c>
      <c r="H30" s="6" t="str">
        <f>'Perhitungan Detail'!G325</f>
        <v>Tidak Konsisten - dikecualikan</v>
      </c>
    </row>
    <row r="31" spans="1:8" x14ac:dyDescent="0.3">
      <c r="A31" s="6">
        <v>28</v>
      </c>
      <c r="B31" s="6" t="str">
        <f>'Perhitungan Detail'!B327</f>
        <v xml:space="preserve">Iskandar Y Taroka </v>
      </c>
      <c r="C31" s="12">
        <f>'Perhitungan Detail'!G329</f>
        <v>0.25</v>
      </c>
      <c r="D31" s="12">
        <f>'Perhitungan Detail'!G330</f>
        <v>0.25</v>
      </c>
      <c r="E31" s="12">
        <f>'Perhitungan Detail'!G331</f>
        <v>0.25</v>
      </c>
      <c r="F31" s="12">
        <f>'Perhitungan Detail'!G332</f>
        <v>0.25</v>
      </c>
      <c r="G31" s="12">
        <f>'Perhitungan Detail'!G336</f>
        <v>0</v>
      </c>
      <c r="H31" s="6" t="str">
        <f>'Perhitungan Detail'!G337</f>
        <v>Konsisten - dipakai</v>
      </c>
    </row>
    <row r="32" spans="1:8" ht="26.4" x14ac:dyDescent="0.3">
      <c r="A32" s="6">
        <v>29</v>
      </c>
      <c r="B32" s="6" t="str">
        <f>'Perhitungan Detail'!B339</f>
        <v>Firdaus Dwi Marta Al Mansur</v>
      </c>
      <c r="C32" s="12">
        <f>'Perhitungan Detail'!G341</f>
        <v>0.26620001620001621</v>
      </c>
      <c r="D32" s="12">
        <f>'Perhitungan Detail'!G342</f>
        <v>0.50970650970650966</v>
      </c>
      <c r="E32" s="12">
        <f>'Perhitungan Detail'!G343</f>
        <v>0.15102802602802604</v>
      </c>
      <c r="F32" s="12">
        <f>'Perhitungan Detail'!G344</f>
        <v>7.3065448065448069E-2</v>
      </c>
      <c r="G32" s="12">
        <f>'Perhitungan Detail'!G348</f>
        <v>0.19303240027667945</v>
      </c>
      <c r="H32" s="6" t="str">
        <f>'Perhitungan Detail'!G349</f>
        <v>Tidak Konsisten - dikecualikan</v>
      </c>
    </row>
    <row r="33" spans="1:8" ht="26.4" x14ac:dyDescent="0.3">
      <c r="A33" s="6">
        <v>30</v>
      </c>
      <c r="B33" s="6" t="str">
        <f>'Perhitungan Detail'!B351</f>
        <v>KADEK GHUSTY RAMAYANA, A.Md.Tra</v>
      </c>
      <c r="C33" s="12">
        <f>'Perhitungan Detail'!G353</f>
        <v>0.25</v>
      </c>
      <c r="D33" s="12">
        <f>'Perhitungan Detail'!G354</f>
        <v>0.25</v>
      </c>
      <c r="E33" s="12">
        <f>'Perhitungan Detail'!G355</f>
        <v>0.25</v>
      </c>
      <c r="F33" s="12">
        <f>'Perhitungan Detail'!G356</f>
        <v>0.25</v>
      </c>
      <c r="G33" s="12">
        <f>'Perhitungan Detail'!G360</f>
        <v>0</v>
      </c>
      <c r="H33" s="6" t="str">
        <f>'Perhitungan Detail'!G361</f>
        <v>Konsisten - dipakai</v>
      </c>
    </row>
    <row r="34" spans="1:8" x14ac:dyDescent="0.3">
      <c r="A34" s="6">
        <v>31</v>
      </c>
      <c r="B34" s="6" t="str">
        <f>'Perhitungan Detail'!B363</f>
        <v>Faisal Fadhiil</v>
      </c>
      <c r="C34" s="12">
        <f>'Perhitungan Detail'!G365</f>
        <v>0.31160714285714286</v>
      </c>
      <c r="D34" s="12">
        <f>'Perhitungan Detail'!G366</f>
        <v>0.28035714285714286</v>
      </c>
      <c r="E34" s="12">
        <f>'Perhitungan Detail'!G367</f>
        <v>0.28035714285714286</v>
      </c>
      <c r="F34" s="12">
        <f>'Perhitungan Detail'!G368</f>
        <v>0.12767857142857142</v>
      </c>
      <c r="G34" s="12">
        <f>'Perhitungan Detail'!G372</f>
        <v>7.6447492327865784E-3</v>
      </c>
      <c r="H34" s="6" t="str">
        <f>'Perhitungan Detail'!G373</f>
        <v>Konsisten - dipakai</v>
      </c>
    </row>
    <row r="35" spans="1:8" x14ac:dyDescent="0.3">
      <c r="A35" s="6">
        <v>32</v>
      </c>
      <c r="B35" s="6" t="str">
        <f>'Perhitungan Detail'!B375</f>
        <v>Akbar</v>
      </c>
      <c r="C35" s="12">
        <f>'Perhitungan Detail'!G377</f>
        <v>0.31634615384615383</v>
      </c>
      <c r="D35" s="12">
        <f>'Perhitungan Detail'!G378</f>
        <v>0.31634615384615383</v>
      </c>
      <c r="E35" s="12">
        <f>'Perhitungan Detail'!G379</f>
        <v>0.24134615384615385</v>
      </c>
      <c r="F35" s="12">
        <f>'Perhitungan Detail'!G380</f>
        <v>0.12596153846153846</v>
      </c>
      <c r="G35" s="12">
        <f>'Perhitungan Detail'!G384</f>
        <v>9.5039650057357219E-2</v>
      </c>
      <c r="H35" s="6" t="str">
        <f>'Perhitungan Detail'!G385</f>
        <v>Konsisten - dipakai</v>
      </c>
    </row>
    <row r="36" spans="1:8" x14ac:dyDescent="0.3">
      <c r="A36" s="6">
        <v>33</v>
      </c>
      <c r="B36" s="6" t="str">
        <f>'Perhitungan Detail'!B387</f>
        <v>BAGUS MAULANA</v>
      </c>
      <c r="C36" s="12">
        <f>'Perhitungan Detail'!G389</f>
        <v>0.10243132257150948</v>
      </c>
      <c r="D36" s="12">
        <f>'Perhitungan Detail'!G390</f>
        <v>0.15112291135655623</v>
      </c>
      <c r="E36" s="12">
        <f>'Perhitungan Detail'!G391</f>
        <v>0.53882327952421416</v>
      </c>
      <c r="F36" s="12">
        <f>'Perhitungan Detail'!G392</f>
        <v>0.2076224865477202</v>
      </c>
      <c r="G36" s="12">
        <f>'Perhitungan Detail'!G396</f>
        <v>8.866886840658128E-2</v>
      </c>
      <c r="H36" s="6" t="str">
        <f>'Perhitungan Detail'!G397</f>
        <v>Konsisten - dipakai</v>
      </c>
    </row>
    <row r="37" spans="1:8" x14ac:dyDescent="0.3">
      <c r="A37" s="6">
        <v>34</v>
      </c>
      <c r="B37" s="6" t="str">
        <f>'Perhitungan Detail'!B399</f>
        <v>Sulaksono prasetyo</v>
      </c>
      <c r="C37" s="12">
        <f>'Perhitungan Detail'!G401</f>
        <v>0.54129464285714279</v>
      </c>
      <c r="D37" s="12">
        <f>'Perhitungan Detail'!G402</f>
        <v>0.13950892857142858</v>
      </c>
      <c r="E37" s="12">
        <f>'Perhitungan Detail'!G403</f>
        <v>0.2600446428571429</v>
      </c>
      <c r="F37" s="12">
        <f>'Perhitungan Detail'!G404</f>
        <v>5.9151785714285719E-2</v>
      </c>
      <c r="G37" s="12">
        <f>'Perhitungan Detail'!G408</f>
        <v>0.2706571277480998</v>
      </c>
      <c r="H37" s="6" t="str">
        <f>'Perhitungan Detail'!G409</f>
        <v>Tidak Konsisten - dikecualikan</v>
      </c>
    </row>
    <row r="38" spans="1:8" x14ac:dyDescent="0.3">
      <c r="A38" s="6">
        <v>35</v>
      </c>
      <c r="B38" s="6" t="str">
        <f>'Perhitungan Detail'!B411</f>
        <v>Eko</v>
      </c>
      <c r="C38" s="12">
        <f>'Perhitungan Detail'!G413</f>
        <v>0.50970650970650966</v>
      </c>
      <c r="D38" s="12">
        <f>'Perhitungan Detail'!G414</f>
        <v>0.26620001620001621</v>
      </c>
      <c r="E38" s="12">
        <f>'Perhitungan Detail'!G415</f>
        <v>0.15102802602802604</v>
      </c>
      <c r="F38" s="12">
        <f>'Perhitungan Detail'!G416</f>
        <v>7.3065448065448069E-2</v>
      </c>
      <c r="G38" s="12">
        <f>'Perhitungan Detail'!G420</f>
        <v>0.19303240027667945</v>
      </c>
      <c r="H38" s="6" t="str">
        <f>'Perhitungan Detail'!G421</f>
        <v>Tidak Konsisten - dikecualikan</v>
      </c>
    </row>
    <row r="39" spans="1:8" x14ac:dyDescent="0.3">
      <c r="A39" s="6">
        <v>36</v>
      </c>
      <c r="B39" s="6" t="str">
        <f>'Perhitungan Detail'!B423</f>
        <v>TRENDI NUGROHO</v>
      </c>
      <c r="C39" s="12">
        <f>'Perhitungan Detail'!G425</f>
        <v>0.51534132567464797</v>
      </c>
      <c r="D39" s="12">
        <f>'Perhitungan Detail'!G426</f>
        <v>0.26704575106363504</v>
      </c>
      <c r="E39" s="12">
        <f>'Perhitungan Detail'!G427</f>
        <v>0.14582996469236503</v>
      </c>
      <c r="F39" s="12">
        <f>'Perhitungan Detail'!G428</f>
        <v>7.1782958569352073E-2</v>
      </c>
      <c r="G39" s="12">
        <f>'Perhitungan Detail'!G432</f>
        <v>0.27064973252482261</v>
      </c>
      <c r="H39" s="6" t="str">
        <f>'Perhitungan Detail'!G433</f>
        <v>Tidak Konsisten - dikecualikan</v>
      </c>
    </row>
    <row r="40" spans="1:8" x14ac:dyDescent="0.3">
      <c r="A40" s="6">
        <v>37</v>
      </c>
      <c r="B40" s="6" t="str">
        <f>'Perhitungan Detail'!B435</f>
        <v xml:space="preserve">YOVIKA FIRMANSYAH </v>
      </c>
      <c r="C40" s="12">
        <f>'Perhitungan Detail'!G437</f>
        <v>5.9151785714285712E-2</v>
      </c>
      <c r="D40" s="12">
        <f>'Perhitungan Detail'!G438</f>
        <v>0.13950892857142858</v>
      </c>
      <c r="E40" s="12">
        <f>'Perhitungan Detail'!G439</f>
        <v>0.26004464285714285</v>
      </c>
      <c r="F40" s="12">
        <f>'Perhitungan Detail'!G440</f>
        <v>0.54129464285714279</v>
      </c>
      <c r="G40" s="12">
        <f>'Perhitungan Detail'!G444</f>
        <v>0.27065712774809947</v>
      </c>
      <c r="H40" s="6" t="str">
        <f>'Perhitungan Detail'!G445</f>
        <v>Tidak Konsisten - dikecualikan</v>
      </c>
    </row>
    <row r="41" spans="1:8" x14ac:dyDescent="0.3">
      <c r="A41" s="6">
        <v>38</v>
      </c>
      <c r="B41" s="6" t="str">
        <f>'Perhitungan Detail'!B447</f>
        <v>irwan budi</v>
      </c>
      <c r="C41" s="12">
        <f>'Perhitungan Detail'!G449</f>
        <v>0.234375</v>
      </c>
      <c r="D41" s="12">
        <f>'Perhitungan Detail'!G450</f>
        <v>0.359375</v>
      </c>
      <c r="E41" s="12">
        <f>'Perhitungan Detail'!G451</f>
        <v>0.234375</v>
      </c>
      <c r="F41" s="12">
        <f>'Perhitungan Detail'!G452</f>
        <v>0.171875</v>
      </c>
      <c r="G41" s="12">
        <f>'Perhitungan Detail'!G456</f>
        <v>0.12726296784267802</v>
      </c>
      <c r="H41" s="6" t="str">
        <f>'Perhitungan Detail'!G457</f>
        <v>Tidak Konsisten - dikecualikan</v>
      </c>
    </row>
    <row r="42" spans="1:8" x14ac:dyDescent="0.3">
      <c r="A42" s="6">
        <v>39</v>
      </c>
      <c r="B42" s="6" t="str">
        <f>'Perhitungan Detail'!B459</f>
        <v>GINANJAR H. R.</v>
      </c>
      <c r="C42" s="12">
        <f>'Perhitungan Detail'!G461</f>
        <v>0.2857142857142857</v>
      </c>
      <c r="D42" s="12">
        <f>'Perhitungan Detail'!G462</f>
        <v>0.2857142857142857</v>
      </c>
      <c r="E42" s="12">
        <f>'Perhitungan Detail'!G463</f>
        <v>0.2857142857142857</v>
      </c>
      <c r="F42" s="12">
        <f>'Perhitungan Detail'!G464</f>
        <v>0.14285714285714285</v>
      </c>
      <c r="G42" s="12">
        <f>'Perhitungan Detail'!G468</f>
        <v>0</v>
      </c>
      <c r="H42" s="6" t="str">
        <f>'Perhitungan Detail'!G469</f>
        <v>Konsisten - dipakai</v>
      </c>
    </row>
    <row r="43" spans="1:8" x14ac:dyDescent="0.3">
      <c r="A43" s="6">
        <v>40</v>
      </c>
      <c r="B43" s="6" t="str">
        <f>'Perhitungan Detail'!B471</f>
        <v xml:space="preserve">MISTUR ROHIM </v>
      </c>
      <c r="C43" s="12">
        <f>'Perhitungan Detail'!G473</f>
        <v>8.8474025974025983E-2</v>
      </c>
      <c r="D43" s="12">
        <f>'Perhitungan Detail'!G474</f>
        <v>0.14042207792207792</v>
      </c>
      <c r="E43" s="12">
        <f>'Perhitungan Detail'!G475</f>
        <v>0.27759740259740262</v>
      </c>
      <c r="F43" s="12">
        <f>'Perhitungan Detail'!G476</f>
        <v>0.49350649350649356</v>
      </c>
      <c r="G43" s="12">
        <f>'Perhitungan Detail'!G480</f>
        <v>0.19485792181012529</v>
      </c>
      <c r="H43" s="6" t="str">
        <f>'Perhitungan Detail'!G481</f>
        <v>Tidak Konsisten - dikecualikan</v>
      </c>
    </row>
    <row r="44" spans="1:8" x14ac:dyDescent="0.3">
      <c r="A44" s="6">
        <v>41</v>
      </c>
      <c r="B44" s="6" t="str">
        <f>'Perhitungan Detail'!B483</f>
        <v>IQBAL HIKMI</v>
      </c>
      <c r="C44" s="12">
        <f>'Perhitungan Detail'!G485</f>
        <v>0.52643247955747952</v>
      </c>
      <c r="D44" s="12">
        <f>'Perhitungan Detail'!G486</f>
        <v>0.27390722703222703</v>
      </c>
      <c r="E44" s="12">
        <f>'Perhitungan Detail'!G487</f>
        <v>0.14000871813371812</v>
      </c>
      <c r="F44" s="12">
        <f>'Perhitungan Detail'!G488</f>
        <v>5.9651575276575275E-2</v>
      </c>
      <c r="G44" s="12">
        <f>'Perhitungan Detail'!G492</f>
        <v>0.23417550878366539</v>
      </c>
      <c r="H44" s="6" t="str">
        <f>'Perhitungan Detail'!G493</f>
        <v>Tidak Konsisten - dikecualikan</v>
      </c>
    </row>
    <row r="45" spans="1:8" ht="26.4" x14ac:dyDescent="0.3">
      <c r="A45" s="6">
        <v>42</v>
      </c>
      <c r="B45" s="6" t="str">
        <f>'Perhitungan Detail'!B495</f>
        <v>SLAMET HADI PURNOMO</v>
      </c>
      <c r="C45" s="12">
        <f>'Perhitungan Detail'!G497</f>
        <v>6.4352620893318571E-2</v>
      </c>
      <c r="D45" s="12">
        <f>'Perhitungan Detail'!G498</f>
        <v>0.55044527500922857</v>
      </c>
      <c r="E45" s="12">
        <f>'Perhitungan Detail'!G499</f>
        <v>0.25254937246216314</v>
      </c>
      <c r="F45" s="12">
        <f>'Perhitungan Detail'!G500</f>
        <v>0.13265273163528976</v>
      </c>
      <c r="G45" s="12">
        <f>'Perhitungan Detail'!G504</f>
        <v>0.2336398086610432</v>
      </c>
      <c r="H45" s="6" t="str">
        <f>'Perhitungan Detail'!G505</f>
        <v>Tidak Konsisten - dikecualikan</v>
      </c>
    </row>
    <row r="46" spans="1:8" x14ac:dyDescent="0.3">
      <c r="A46" s="6">
        <v>43</v>
      </c>
      <c r="B46" s="6" t="str">
        <f>'Perhitungan Detail'!B507</f>
        <v>Muhamad Afandli</v>
      </c>
      <c r="C46" s="12">
        <f>'Perhitungan Detail'!G509</f>
        <v>0.28247863247863247</v>
      </c>
      <c r="D46" s="12">
        <f>'Perhitungan Detail'!G510</f>
        <v>0.43803418803418798</v>
      </c>
      <c r="E46" s="12">
        <f>'Perhitungan Detail'!G511</f>
        <v>0.21581196581196582</v>
      </c>
      <c r="F46" s="12">
        <f>'Perhitungan Detail'!G512</f>
        <v>6.3675213675213671E-2</v>
      </c>
      <c r="G46" s="12">
        <f>'Perhitungan Detail'!G516</f>
        <v>0.13002884439416371</v>
      </c>
      <c r="H46" s="6" t="str">
        <f>'Perhitungan Detail'!G517</f>
        <v>Tidak Konsisten - dikecualikan</v>
      </c>
    </row>
    <row r="47" spans="1:8" x14ac:dyDescent="0.3">
      <c r="A47" s="6">
        <v>44</v>
      </c>
      <c r="B47" s="6" t="str">
        <f>'Perhitungan Detail'!B519</f>
        <v>Muh Fajriansyah</v>
      </c>
      <c r="C47" s="12">
        <f>'Perhitungan Detail'!G521</f>
        <v>5.9151785714285712E-2</v>
      </c>
      <c r="D47" s="12">
        <f>'Perhitungan Detail'!G522</f>
        <v>0.13950892857142858</v>
      </c>
      <c r="E47" s="12">
        <f>'Perhitungan Detail'!G523</f>
        <v>0.26004464285714285</v>
      </c>
      <c r="F47" s="12">
        <f>'Perhitungan Detail'!G524</f>
        <v>0.54129464285714279</v>
      </c>
      <c r="G47" s="12">
        <f>'Perhitungan Detail'!G528</f>
        <v>0.27065712774809947</v>
      </c>
      <c r="H47" s="6" t="str">
        <f>'Perhitungan Detail'!G529</f>
        <v>Tidak Konsisten - dikecualikan</v>
      </c>
    </row>
    <row r="48" spans="1:8" ht="26.4" x14ac:dyDescent="0.3">
      <c r="A48" s="6">
        <v>45</v>
      </c>
      <c r="B48" s="6" t="str">
        <f>'Perhitungan Detail'!B531</f>
        <v>AHMAD YANI FAHMI FIRDAUS</v>
      </c>
      <c r="C48" s="12">
        <f>'Perhitungan Detail'!G533</f>
        <v>0.134508547008547</v>
      </c>
      <c r="D48" s="12">
        <f>'Perhitungan Detail'!G534</f>
        <v>0.32553418803418804</v>
      </c>
      <c r="E48" s="12">
        <f>'Perhitungan Detail'!G535</f>
        <v>0.29775641025641025</v>
      </c>
      <c r="F48" s="12">
        <f>'Perhitungan Detail'!G536</f>
        <v>0.24220085470085473</v>
      </c>
      <c r="G48" s="12">
        <f>'Perhitungan Detail'!G540</f>
        <v>7.8310665760330522E-2</v>
      </c>
      <c r="H48" s="6" t="str">
        <f>'Perhitungan Detail'!G541</f>
        <v>Konsisten - dipakai</v>
      </c>
    </row>
    <row r="49" spans="1:8" x14ac:dyDescent="0.3">
      <c r="A49" s="6">
        <v>46</v>
      </c>
      <c r="B49" s="6" t="str">
        <f>'Perhitungan Detail'!B543</f>
        <v>ANDI GUNAWAN</v>
      </c>
      <c r="C49" s="12">
        <f>'Perhitungan Detail'!G545</f>
        <v>0.4676981810617159</v>
      </c>
      <c r="D49" s="12">
        <f>'Perhitungan Detail'!G546</f>
        <v>0.19761038571158082</v>
      </c>
      <c r="E49" s="12">
        <f>'Perhitungan Detail'!G547</f>
        <v>0.27632474687833219</v>
      </c>
      <c r="F49" s="12">
        <f>'Perhitungan Detail'!G548</f>
        <v>5.8366686348371152E-2</v>
      </c>
      <c r="G49" s="12">
        <f>'Perhitungan Detail'!G552</f>
        <v>0.16758209938361324</v>
      </c>
      <c r="H49" s="6" t="str">
        <f>'Perhitungan Detail'!G553</f>
        <v>Tidak Konsisten - dikecualikan</v>
      </c>
    </row>
    <row r="50" spans="1:8" ht="26.4" x14ac:dyDescent="0.3">
      <c r="A50" s="6">
        <v>47</v>
      </c>
      <c r="B50" s="6" t="str">
        <f>'Perhitungan Detail'!B555</f>
        <v xml:space="preserve">PT.AKASYAH KARYA SAMUDRA </v>
      </c>
      <c r="C50" s="12">
        <f>'Perhitungan Detail'!G557</f>
        <v>0.25</v>
      </c>
      <c r="D50" s="12">
        <f>'Perhitungan Detail'!G558</f>
        <v>0.25</v>
      </c>
      <c r="E50" s="12">
        <f>'Perhitungan Detail'!G559</f>
        <v>0.25</v>
      </c>
      <c r="F50" s="12">
        <f>'Perhitungan Detail'!G560</f>
        <v>0.25</v>
      </c>
      <c r="G50" s="12">
        <f>'Perhitungan Detail'!G564</f>
        <v>0</v>
      </c>
      <c r="H50" s="6" t="str">
        <f>'Perhitungan Detail'!G565</f>
        <v>Konsisten - dipakai</v>
      </c>
    </row>
    <row r="51" spans="1:8" x14ac:dyDescent="0.3">
      <c r="A51" s="6">
        <v>48</v>
      </c>
      <c r="B51" s="6" t="str">
        <f>'Perhitungan Detail'!B567</f>
        <v>Faris</v>
      </c>
      <c r="C51" s="12">
        <f>'Perhitungan Detail'!G569</f>
        <v>0.54129464285714279</v>
      </c>
      <c r="D51" s="12">
        <f>'Perhitungan Detail'!G570</f>
        <v>0.26004464285714285</v>
      </c>
      <c r="E51" s="12">
        <f>'Perhitungan Detail'!G571</f>
        <v>0.13950892857142858</v>
      </c>
      <c r="F51" s="12">
        <f>'Perhitungan Detail'!G572</f>
        <v>5.9151785714285719E-2</v>
      </c>
      <c r="G51" s="12">
        <f>'Perhitungan Detail'!G576</f>
        <v>0.2706571277480998</v>
      </c>
      <c r="H51" s="6" t="str">
        <f>'Perhitungan Detail'!G577</f>
        <v>Tidak Konsisten - dikecualikan</v>
      </c>
    </row>
    <row r="52" spans="1:8" x14ac:dyDescent="0.3">
      <c r="A52" s="6">
        <v>49</v>
      </c>
      <c r="B52" s="6" t="str">
        <f>'Perhitungan Detail'!B579</f>
        <v xml:space="preserve">WAHYU </v>
      </c>
      <c r="C52" s="12">
        <f>'Perhitungan Detail'!G581</f>
        <v>0.54129464285714279</v>
      </c>
      <c r="D52" s="12">
        <f>'Perhitungan Detail'!G582</f>
        <v>0.26004464285714285</v>
      </c>
      <c r="E52" s="12">
        <f>'Perhitungan Detail'!G583</f>
        <v>0.13950892857142858</v>
      </c>
      <c r="F52" s="12">
        <f>'Perhitungan Detail'!G584</f>
        <v>5.9151785714285719E-2</v>
      </c>
      <c r="G52" s="12">
        <f>'Perhitungan Detail'!G588</f>
        <v>0.2706571277480998</v>
      </c>
      <c r="H52" s="6" t="str">
        <f>'Perhitungan Detail'!G589</f>
        <v>Tidak Konsisten - dikecualikan</v>
      </c>
    </row>
    <row r="53" spans="1:8" x14ac:dyDescent="0.3">
      <c r="A53" s="6">
        <v>50</v>
      </c>
      <c r="B53" s="6" t="str">
        <f>'Perhitungan Detail'!B591</f>
        <v>Supandi</v>
      </c>
      <c r="C53" s="12">
        <f>'Perhitungan Detail'!G593</f>
        <v>0.54129464285714279</v>
      </c>
      <c r="D53" s="12">
        <f>'Perhitungan Detail'!G594</f>
        <v>0.26004464285714285</v>
      </c>
      <c r="E53" s="12">
        <f>'Perhitungan Detail'!G595</f>
        <v>0.13950892857142858</v>
      </c>
      <c r="F53" s="12">
        <f>'Perhitungan Detail'!G596</f>
        <v>5.9151785714285719E-2</v>
      </c>
      <c r="G53" s="12">
        <f>'Perhitungan Detail'!G600</f>
        <v>0.2706571277480998</v>
      </c>
      <c r="H53" s="6" t="str">
        <f>'Perhitungan Detail'!G601</f>
        <v>Tidak Konsisten - dikecualikan</v>
      </c>
    </row>
    <row r="54" spans="1:8" x14ac:dyDescent="0.3">
      <c r="A54" s="6">
        <v>51</v>
      </c>
      <c r="B54" s="6" t="str">
        <f>'Perhitungan Detail'!B603</f>
        <v>DEDE TAMA</v>
      </c>
      <c r="C54" s="12">
        <f>'Perhitungan Detail'!G605</f>
        <v>0.50479954827780915</v>
      </c>
      <c r="D54" s="12">
        <f>'Perhitungan Detail'!G606</f>
        <v>0.26129305477131565</v>
      </c>
      <c r="E54" s="12">
        <f>'Perhitungan Detail'!G607</f>
        <v>0.16353754940711462</v>
      </c>
      <c r="F54" s="12">
        <f>'Perhitungan Detail'!G608</f>
        <v>7.0369847543760591E-2</v>
      </c>
      <c r="G54" s="12">
        <f>'Perhitungan Detail'!G612</f>
        <v>0.23118162166823833</v>
      </c>
      <c r="H54" s="6" t="str">
        <f>'Perhitungan Detail'!G613</f>
        <v>Tidak Konsisten - dikecualikan</v>
      </c>
    </row>
    <row r="55" spans="1:8" x14ac:dyDescent="0.3">
      <c r="A55" s="6">
        <v>52</v>
      </c>
      <c r="B55" s="6" t="str">
        <f>'Perhitungan Detail'!B615</f>
        <v xml:space="preserve">Indra </v>
      </c>
      <c r="C55" s="12">
        <f>'Perhitungan Detail'!G617</f>
        <v>0.31887166729883287</v>
      </c>
      <c r="D55" s="12">
        <f>'Perhitungan Detail'!G618</f>
        <v>0.32968763581695626</v>
      </c>
      <c r="E55" s="12">
        <f>'Perhitungan Detail'!G619</f>
        <v>4.1810509170360888E-2</v>
      </c>
      <c r="F55" s="12">
        <f>'Perhitungan Detail'!G620</f>
        <v>0.30963018771384998</v>
      </c>
      <c r="G55" s="12">
        <f>'Perhitungan Detail'!G624</f>
        <v>0.75895683090626576</v>
      </c>
      <c r="H55" s="6" t="str">
        <f>'Perhitungan Detail'!G625</f>
        <v>Tidak Konsisten - dikecualikan</v>
      </c>
    </row>
    <row r="56" spans="1:8" x14ac:dyDescent="0.3">
      <c r="A56" s="6">
        <v>53</v>
      </c>
      <c r="B56" s="6" t="str">
        <f>'Perhitungan Detail'!B627</f>
        <v>Nanda stefanny</v>
      </c>
      <c r="C56" s="12">
        <f>'Perhitungan Detail'!G629</f>
        <v>0.171875</v>
      </c>
      <c r="D56" s="12">
        <f>'Perhitungan Detail'!G630</f>
        <v>0.359375</v>
      </c>
      <c r="E56" s="12">
        <f>'Perhitungan Detail'!G631</f>
        <v>0.234375</v>
      </c>
      <c r="F56" s="12">
        <f>'Perhitungan Detail'!G632</f>
        <v>0.234375</v>
      </c>
      <c r="G56" s="12">
        <f>'Perhitungan Detail'!G636</f>
        <v>0.12726296784267802</v>
      </c>
      <c r="H56" s="6" t="str">
        <f>'Perhitungan Detail'!G637</f>
        <v>Tidak Konsisten - dikecualikan</v>
      </c>
    </row>
    <row r="57" spans="1:8" x14ac:dyDescent="0.3">
      <c r="A57" s="6">
        <v>54</v>
      </c>
      <c r="B57" s="6" t="str">
        <f>'Perhitungan Detail'!B639</f>
        <v>Hendik mahmudi</v>
      </c>
      <c r="C57" s="12">
        <f>'Perhitungan Detail'!G641</f>
        <v>0.25</v>
      </c>
      <c r="D57" s="12">
        <f>'Perhitungan Detail'!G642</f>
        <v>0.25</v>
      </c>
      <c r="E57" s="12">
        <f>'Perhitungan Detail'!G643</f>
        <v>0.25</v>
      </c>
      <c r="F57" s="12">
        <f>'Perhitungan Detail'!G644</f>
        <v>0.25</v>
      </c>
      <c r="G57" s="12">
        <f>'Perhitungan Detail'!G648</f>
        <v>0</v>
      </c>
      <c r="H57" s="6" t="str">
        <f>'Perhitungan Detail'!G649</f>
        <v>Konsisten - dipakai</v>
      </c>
    </row>
    <row r="58" spans="1:8" x14ac:dyDescent="0.3">
      <c r="A58" s="6">
        <v>55</v>
      </c>
      <c r="B58" s="6">
        <f>'Perhitungan Detail'!B651</f>
        <v>0</v>
      </c>
      <c r="C58" s="12">
        <f>'Perhitungan Detail'!G653</f>
        <v>0.25</v>
      </c>
      <c r="D58" s="12">
        <f>'Perhitungan Detail'!G654</f>
        <v>0.25</v>
      </c>
      <c r="E58" s="12">
        <f>'Perhitungan Detail'!G655</f>
        <v>0.25</v>
      </c>
      <c r="F58" s="12">
        <f>'Perhitungan Detail'!G656</f>
        <v>0.25</v>
      </c>
      <c r="G58" s="12">
        <f>'Perhitungan Detail'!G660</f>
        <v>0</v>
      </c>
      <c r="H58" s="6" t="str">
        <f>'Perhitungan Detail'!G661</f>
        <v>Belum diisi</v>
      </c>
    </row>
    <row r="59" spans="1:8" x14ac:dyDescent="0.3">
      <c r="A59" s="6">
        <v>56</v>
      </c>
      <c r="B59" s="6">
        <f>'Perhitungan Detail'!B663</f>
        <v>0</v>
      </c>
      <c r="C59" s="12">
        <f>'Perhitungan Detail'!G665</f>
        <v>0.25</v>
      </c>
      <c r="D59" s="12">
        <f>'Perhitungan Detail'!G666</f>
        <v>0.25</v>
      </c>
      <c r="E59" s="12">
        <f>'Perhitungan Detail'!G667</f>
        <v>0.25</v>
      </c>
      <c r="F59" s="12">
        <f>'Perhitungan Detail'!G668</f>
        <v>0.25</v>
      </c>
      <c r="G59" s="12">
        <f>'Perhitungan Detail'!G672</f>
        <v>0</v>
      </c>
      <c r="H59" s="6" t="str">
        <f>'Perhitungan Detail'!G673</f>
        <v>Belum diisi</v>
      </c>
    </row>
    <row r="60" spans="1:8" x14ac:dyDescent="0.3">
      <c r="A60" s="6">
        <v>57</v>
      </c>
      <c r="B60" s="6">
        <f>'Perhitungan Detail'!B675</f>
        <v>0</v>
      </c>
      <c r="C60" s="12">
        <f>'Perhitungan Detail'!G677</f>
        <v>0.25</v>
      </c>
      <c r="D60" s="12">
        <f>'Perhitungan Detail'!G678</f>
        <v>0.25</v>
      </c>
      <c r="E60" s="12">
        <f>'Perhitungan Detail'!G679</f>
        <v>0.25</v>
      </c>
      <c r="F60" s="12">
        <f>'Perhitungan Detail'!G680</f>
        <v>0.25</v>
      </c>
      <c r="G60" s="12">
        <f>'Perhitungan Detail'!G684</f>
        <v>0</v>
      </c>
      <c r="H60" s="6" t="str">
        <f>'Perhitungan Detail'!G685</f>
        <v>Belum diisi</v>
      </c>
    </row>
    <row r="61" spans="1:8" x14ac:dyDescent="0.3">
      <c r="A61" s="6">
        <v>58</v>
      </c>
      <c r="B61" s="6">
        <f>'Perhitungan Detail'!B687</f>
        <v>0</v>
      </c>
      <c r="C61" s="12">
        <f>'Perhitungan Detail'!G689</f>
        <v>0.25</v>
      </c>
      <c r="D61" s="12">
        <f>'Perhitungan Detail'!G690</f>
        <v>0.25</v>
      </c>
      <c r="E61" s="12">
        <f>'Perhitungan Detail'!G691</f>
        <v>0.25</v>
      </c>
      <c r="F61" s="12">
        <f>'Perhitungan Detail'!G692</f>
        <v>0.25</v>
      </c>
      <c r="G61" s="12">
        <f>'Perhitungan Detail'!G696</f>
        <v>0</v>
      </c>
      <c r="H61" s="6" t="str">
        <f>'Perhitungan Detail'!G697</f>
        <v>Belum diisi</v>
      </c>
    </row>
    <row r="62" spans="1:8" x14ac:dyDescent="0.3">
      <c r="A62" s="6">
        <v>59</v>
      </c>
      <c r="B62" s="6">
        <f>'Perhitungan Detail'!B699</f>
        <v>0</v>
      </c>
      <c r="C62" s="12">
        <f>'Perhitungan Detail'!G701</f>
        <v>0.25</v>
      </c>
      <c r="D62" s="12">
        <f>'Perhitungan Detail'!G702</f>
        <v>0.25</v>
      </c>
      <c r="E62" s="12">
        <f>'Perhitungan Detail'!G703</f>
        <v>0.25</v>
      </c>
      <c r="F62" s="12">
        <f>'Perhitungan Detail'!G704</f>
        <v>0.25</v>
      </c>
      <c r="G62" s="12">
        <f>'Perhitungan Detail'!G708</f>
        <v>0</v>
      </c>
      <c r="H62" s="6" t="str">
        <f>'Perhitungan Detail'!G709</f>
        <v>Belum diisi</v>
      </c>
    </row>
    <row r="63" spans="1:8" x14ac:dyDescent="0.3">
      <c r="A63" s="6">
        <v>60</v>
      </c>
      <c r="B63" s="6">
        <f>'Perhitungan Detail'!B711</f>
        <v>0</v>
      </c>
      <c r="C63" s="12">
        <f>'Perhitungan Detail'!G713</f>
        <v>0.25</v>
      </c>
      <c r="D63" s="12">
        <f>'Perhitungan Detail'!G714</f>
        <v>0.25</v>
      </c>
      <c r="E63" s="12">
        <f>'Perhitungan Detail'!G715</f>
        <v>0.25</v>
      </c>
      <c r="F63" s="12">
        <f>'Perhitungan Detail'!G716</f>
        <v>0.25</v>
      </c>
      <c r="G63" s="12">
        <f>'Perhitungan Detail'!G720</f>
        <v>0</v>
      </c>
      <c r="H63" s="6" t="str">
        <f>'Perhitungan Detail'!G721</f>
        <v>Belum diisi</v>
      </c>
    </row>
    <row r="65" spans="1:8" x14ac:dyDescent="0.3">
      <c r="A65" s="24" t="s">
        <v>135</v>
      </c>
      <c r="B65" s="24"/>
      <c r="C65" s="24"/>
      <c r="D65" s="24"/>
      <c r="E65" s="24"/>
      <c r="F65" s="16">
        <f>COUNTIF(H4:H63,"Konsisten - dipakai")</f>
        <v>17</v>
      </c>
    </row>
    <row r="67" spans="1:8" x14ac:dyDescent="0.3">
      <c r="A67" s="25" t="s">
        <v>136</v>
      </c>
      <c r="B67" s="25"/>
      <c r="C67" s="25"/>
      <c r="D67" s="25"/>
      <c r="E67" s="25"/>
      <c r="F67" s="25"/>
      <c r="G67" s="25"/>
      <c r="H67" s="25"/>
    </row>
    <row r="68" spans="1:8" x14ac:dyDescent="0.3">
      <c r="B68" s="10" t="s">
        <v>58</v>
      </c>
      <c r="C68" s="10" t="s">
        <v>59</v>
      </c>
      <c r="D68" s="10" t="s">
        <v>60</v>
      </c>
      <c r="E68" s="10" t="s">
        <v>61</v>
      </c>
    </row>
    <row r="69" spans="1:8" x14ac:dyDescent="0.3">
      <c r="A69" s="1" t="s">
        <v>137</v>
      </c>
      <c r="B69" s="12">
        <f>EXP(SUMPRODUCT(({"Konsisten - dipakai"}=$H$4:$H$63)*LN(C4:C63)) / SUMPRODUCT(--($H$4:$H$63="Konsisten - dipakai")))</f>
        <v>0.24779697205149756</v>
      </c>
      <c r="C69" s="12">
        <f>EXP(SUMPRODUCT(({"Konsisten - dipakai"}=$H$4:$H$63)*LN(D4:D63)) / SUMPRODUCT(--($H$4:$H$63="Konsisten - dipakai")))</f>
        <v>0.25986653603275212</v>
      </c>
      <c r="D69" s="12">
        <f>EXP(SUMPRODUCT(({"Konsisten - dipakai"}=$H$4:$H$63)*LN(E4:E63)) / SUMPRODUCT(--($H$4:$H$63="Konsisten - dipakai")))</f>
        <v>0.27999425757111951</v>
      </c>
      <c r="E69" s="12">
        <f>EXP(SUMPRODUCT(({"Konsisten - dipakai"}=$H$4:$H$63)*LN(F4:F63)) / SUMPRODUCT(--($H$4:$H$63="Konsisten - dipakai")))</f>
        <v>0.17518553969045095</v>
      </c>
      <c r="G69" s="17">
        <f>SUM(B69:E69)</f>
        <v>0.96284330534582008</v>
      </c>
    </row>
    <row r="70" spans="1:8" x14ac:dyDescent="0.3">
      <c r="A70" s="1" t="s">
        <v>138</v>
      </c>
      <c r="B70" s="18">
        <f>B69/$G$69</f>
        <v>0.2573596042842064</v>
      </c>
      <c r="C70" s="18">
        <f>C69/$G$69</f>
        <v>0.26989493990345298</v>
      </c>
      <c r="D70" s="18">
        <f>D69/$G$69</f>
        <v>0.29079940216290462</v>
      </c>
      <c r="E70" s="18">
        <f>E69/$G$69</f>
        <v>0.18194605364943608</v>
      </c>
    </row>
    <row r="71" spans="1:8" x14ac:dyDescent="0.3">
      <c r="A71" s="19" t="s">
        <v>139</v>
      </c>
      <c r="B71" s="17">
        <f>SUM(B70:E70)</f>
        <v>1.0000000000000002</v>
      </c>
    </row>
    <row r="73" spans="1:8" x14ac:dyDescent="0.3">
      <c r="A73" s="26" t="s">
        <v>140</v>
      </c>
      <c r="B73" s="26"/>
      <c r="C73" s="26"/>
      <c r="D73" s="26"/>
      <c r="E73" s="26"/>
      <c r="F73" s="26"/>
      <c r="G73" s="26"/>
      <c r="H73" s="26"/>
    </row>
  </sheetData>
  <mergeCells count="4">
    <mergeCell ref="A1:H1"/>
    <mergeCell ref="A65:E65"/>
    <mergeCell ref="A67:H67"/>
    <mergeCell ref="A73:H7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0.39997558519241921"/>
  </sheetPr>
  <dimension ref="A1:K16"/>
  <sheetViews>
    <sheetView showGridLines="0" zoomScaleNormal="100" workbookViewId="0">
      <selection activeCell="F18" sqref="F18"/>
    </sheetView>
  </sheetViews>
  <sheetFormatPr defaultColWidth="8.6640625" defaultRowHeight="14.4" x14ac:dyDescent="0.3"/>
  <cols>
    <col min="1" max="1" width="16" customWidth="1"/>
    <col min="2" max="2" width="10" customWidth="1"/>
    <col min="3" max="6" width="12" customWidth="1"/>
    <col min="7" max="8" width="14" customWidth="1"/>
    <col min="9" max="10" width="16" customWidth="1"/>
    <col min="11" max="11" width="18" customWidth="1"/>
  </cols>
  <sheetData>
    <row r="1" spans="1:11" ht="24" customHeight="1" x14ac:dyDescent="0.3">
      <c r="A1" s="23" t="s">
        <v>141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1" x14ac:dyDescent="0.3">
      <c r="A2" s="26" t="s">
        <v>142</v>
      </c>
      <c r="B2" s="26"/>
      <c r="C2" s="26"/>
      <c r="D2" s="26"/>
      <c r="E2" s="26"/>
      <c r="F2" s="26"/>
      <c r="G2" s="26"/>
      <c r="H2" s="26"/>
      <c r="I2" s="26"/>
      <c r="J2" s="26"/>
      <c r="K2" s="26"/>
    </row>
    <row r="4" spans="1:11" ht="31.5" customHeight="1" x14ac:dyDescent="0.3">
      <c r="A4" s="5" t="s">
        <v>143</v>
      </c>
      <c r="B4" s="5" t="s">
        <v>144</v>
      </c>
      <c r="C4" s="5" t="s">
        <v>58</v>
      </c>
      <c r="D4" s="5" t="s">
        <v>59</v>
      </c>
      <c r="E4" s="5" t="s">
        <v>60</v>
      </c>
      <c r="F4" s="5" t="s">
        <v>61</v>
      </c>
      <c r="G4" s="5" t="s">
        <v>145</v>
      </c>
      <c r="H4" s="5" t="s">
        <v>146</v>
      </c>
      <c r="I4" s="5" t="s">
        <v>147</v>
      </c>
      <c r="J4" s="5" t="s">
        <v>148</v>
      </c>
      <c r="K4" s="5" t="s">
        <v>149</v>
      </c>
    </row>
    <row r="5" spans="1:11" x14ac:dyDescent="0.3">
      <c r="A5" s="20" t="s">
        <v>150</v>
      </c>
      <c r="B5" s="8">
        <v>703</v>
      </c>
      <c r="C5" s="8">
        <v>1</v>
      </c>
      <c r="D5" s="8">
        <v>1</v>
      </c>
      <c r="E5" s="8">
        <v>1</v>
      </c>
      <c r="F5" s="8">
        <v>1</v>
      </c>
      <c r="G5" s="12">
        <f t="shared" ref="G5:G14" si="0">0.25*C5+0.25*D5+0.25*E5+0.25*F5</f>
        <v>1</v>
      </c>
      <c r="H5" s="12">
        <f>'Rekap Bobot Akhir'!$B$70*C5+'Rekap Bobot Akhir'!$C$70*D5+'Rekap Bobot Akhir'!$D$70*E5+'Rekap Bobot Akhir'!$E$70*F5</f>
        <v>1.0000000000000002</v>
      </c>
      <c r="I5" s="12">
        <f t="shared" ref="I5:I14" si="1">H5-G5</f>
        <v>0</v>
      </c>
      <c r="J5" s="6" t="str">
        <f t="shared" ref="J5:J14" si="2">IF(G5&gt;=0.5,"Performa Tinggi","Performa Rendah")</f>
        <v>Performa Tinggi</v>
      </c>
      <c r="K5" s="6" t="str">
        <f t="shared" ref="K5:K14" si="3">IF(H5&gt;=0.5,"Performa Tinggi","Performa Rendah")</f>
        <v>Performa Tinggi</v>
      </c>
    </row>
    <row r="6" spans="1:11" x14ac:dyDescent="0.3">
      <c r="A6" s="20" t="s">
        <v>151</v>
      </c>
      <c r="B6" s="8">
        <v>28</v>
      </c>
      <c r="C6" s="8">
        <v>1</v>
      </c>
      <c r="D6" s="8">
        <v>1</v>
      </c>
      <c r="E6" s="8">
        <v>1</v>
      </c>
      <c r="F6" s="8">
        <v>1</v>
      </c>
      <c r="G6" s="12">
        <f t="shared" si="0"/>
        <v>1</v>
      </c>
      <c r="H6" s="12">
        <f>'Rekap Bobot Akhir'!$B$70*C6+'Rekap Bobot Akhir'!$C$70*D6+'Rekap Bobot Akhir'!$D$70*E6+'Rekap Bobot Akhir'!$E$70*F6</f>
        <v>1.0000000000000002</v>
      </c>
      <c r="I6" s="12">
        <f t="shared" si="1"/>
        <v>0</v>
      </c>
      <c r="J6" s="6" t="str">
        <f t="shared" si="2"/>
        <v>Performa Tinggi</v>
      </c>
      <c r="K6" s="6" t="str">
        <f t="shared" si="3"/>
        <v>Performa Tinggi</v>
      </c>
    </row>
    <row r="7" spans="1:11" x14ac:dyDescent="0.3">
      <c r="A7" s="20" t="s">
        <v>152</v>
      </c>
      <c r="B7" s="8">
        <v>922</v>
      </c>
      <c r="C7" s="8">
        <v>1</v>
      </c>
      <c r="D7" s="8">
        <v>1</v>
      </c>
      <c r="E7" s="8">
        <v>1</v>
      </c>
      <c r="F7" s="8">
        <v>1</v>
      </c>
      <c r="G7" s="12">
        <f t="shared" si="0"/>
        <v>1</v>
      </c>
      <c r="H7" s="12">
        <f>'Rekap Bobot Akhir'!$B$70*C7+'Rekap Bobot Akhir'!$C$70*D7+'Rekap Bobot Akhir'!$D$70*E7+'Rekap Bobot Akhir'!$E$70*F7</f>
        <v>1.0000000000000002</v>
      </c>
      <c r="I7" s="12">
        <f t="shared" si="1"/>
        <v>0</v>
      </c>
      <c r="J7" s="6" t="str">
        <f t="shared" si="2"/>
        <v>Performa Tinggi</v>
      </c>
      <c r="K7" s="6" t="str">
        <f t="shared" si="3"/>
        <v>Performa Tinggi</v>
      </c>
    </row>
    <row r="8" spans="1:11" x14ac:dyDescent="0.3">
      <c r="A8" s="20" t="s">
        <v>153</v>
      </c>
      <c r="B8" s="8">
        <v>1877</v>
      </c>
      <c r="C8" s="8">
        <v>1</v>
      </c>
      <c r="D8" s="8">
        <v>1</v>
      </c>
      <c r="E8" s="8">
        <v>1</v>
      </c>
      <c r="F8" s="8">
        <v>1</v>
      </c>
      <c r="G8" s="12">
        <f t="shared" si="0"/>
        <v>1</v>
      </c>
      <c r="H8" s="12">
        <f>'Rekap Bobot Akhir'!$B$70*C8+'Rekap Bobot Akhir'!$C$70*D8+'Rekap Bobot Akhir'!$D$70*E8+'Rekap Bobot Akhir'!$E$70*F8</f>
        <v>1.0000000000000002</v>
      </c>
      <c r="I8" s="12">
        <f t="shared" si="1"/>
        <v>0</v>
      </c>
      <c r="J8" s="6" t="str">
        <f t="shared" si="2"/>
        <v>Performa Tinggi</v>
      </c>
      <c r="K8" s="6" t="str">
        <f t="shared" si="3"/>
        <v>Performa Tinggi</v>
      </c>
    </row>
    <row r="9" spans="1:11" x14ac:dyDescent="0.3">
      <c r="A9" s="20" t="s">
        <v>154</v>
      </c>
      <c r="B9" s="8">
        <v>1201</v>
      </c>
      <c r="C9" s="8">
        <v>1</v>
      </c>
      <c r="D9" s="8">
        <v>0.99950000000000006</v>
      </c>
      <c r="E9" s="8">
        <v>1</v>
      </c>
      <c r="F9" s="8">
        <v>1</v>
      </c>
      <c r="G9" s="12">
        <f t="shared" si="0"/>
        <v>0.99987500000000007</v>
      </c>
      <c r="H9" s="12">
        <f>'Rekap Bobot Akhir'!$B$70*C9+'Rekap Bobot Akhir'!$C$70*D9+'Rekap Bobot Akhir'!$D$70*E9+'Rekap Bobot Akhir'!$E$70*F9</f>
        <v>0.99986505253004843</v>
      </c>
      <c r="I9" s="12">
        <f t="shared" si="1"/>
        <v>-9.9474699516433063E-6</v>
      </c>
      <c r="J9" s="6" t="str">
        <f t="shared" si="2"/>
        <v>Performa Tinggi</v>
      </c>
      <c r="K9" s="6" t="str">
        <f t="shared" si="3"/>
        <v>Performa Tinggi</v>
      </c>
    </row>
    <row r="10" spans="1:11" x14ac:dyDescent="0.3">
      <c r="A10" s="20" t="s">
        <v>155</v>
      </c>
      <c r="B10" s="8">
        <v>8085</v>
      </c>
      <c r="C10" s="8">
        <v>0</v>
      </c>
      <c r="D10" s="8">
        <v>4.65E-2</v>
      </c>
      <c r="E10" s="8">
        <v>0.98129999999999995</v>
      </c>
      <c r="F10" s="8">
        <v>0</v>
      </c>
      <c r="G10" s="12">
        <f t="shared" si="0"/>
        <v>0.25695000000000001</v>
      </c>
      <c r="H10" s="12">
        <f>'Rekap Bobot Akhir'!$B$70*C10+'Rekap Bobot Akhir'!$C$70*D10+'Rekap Bobot Akhir'!$D$70*E10+'Rekap Bobot Akhir'!$E$70*F10</f>
        <v>0.29791156804796881</v>
      </c>
      <c r="I10" s="12">
        <f t="shared" si="1"/>
        <v>4.0961568047968799E-2</v>
      </c>
      <c r="J10" s="6" t="str">
        <f t="shared" si="2"/>
        <v>Performa Rendah</v>
      </c>
      <c r="K10" s="6" t="str">
        <f t="shared" si="3"/>
        <v>Performa Rendah</v>
      </c>
    </row>
    <row r="11" spans="1:11" x14ac:dyDescent="0.3">
      <c r="A11" s="20" t="s">
        <v>156</v>
      </c>
      <c r="B11" s="8">
        <v>5323</v>
      </c>
      <c r="C11" s="8">
        <v>1.61E-2</v>
      </c>
      <c r="D11" s="8">
        <v>0</v>
      </c>
      <c r="E11" s="8">
        <v>0.86009999999999998</v>
      </c>
      <c r="F11" s="8">
        <v>0</v>
      </c>
      <c r="G11" s="12">
        <f t="shared" si="0"/>
        <v>0.21904999999999999</v>
      </c>
      <c r="H11" s="12">
        <f>'Rekap Bobot Akhir'!$B$70*C11+'Rekap Bobot Akhir'!$C$70*D11+'Rekap Bobot Akhir'!$D$70*E11+'Rekap Bobot Akhir'!$E$70*F11</f>
        <v>0.25426005542928998</v>
      </c>
      <c r="I11" s="12">
        <f t="shared" si="1"/>
        <v>3.5210055429289983E-2</v>
      </c>
      <c r="J11" s="6" t="str">
        <f t="shared" si="2"/>
        <v>Performa Rendah</v>
      </c>
      <c r="K11" s="6" t="str">
        <f t="shared" si="3"/>
        <v>Performa Rendah</v>
      </c>
    </row>
    <row r="12" spans="1:11" x14ac:dyDescent="0.3">
      <c r="A12" s="20" t="s">
        <v>157</v>
      </c>
      <c r="B12" s="8">
        <v>10960</v>
      </c>
      <c r="C12" s="8">
        <v>0</v>
      </c>
      <c r="D12" s="8">
        <v>0.28789999999999999</v>
      </c>
      <c r="E12" s="8">
        <v>0</v>
      </c>
      <c r="F12" s="8">
        <v>0.33289999999999997</v>
      </c>
      <c r="G12" s="12">
        <f t="shared" si="0"/>
        <v>0.1552</v>
      </c>
      <c r="H12" s="12">
        <f>'Rekap Bobot Akhir'!$B$70*C12+'Rekap Bobot Akhir'!$C$70*D12+'Rekap Bobot Akhir'!$D$70*E12+'Rekap Bobot Akhir'!$E$70*F12</f>
        <v>0.13827259445810136</v>
      </c>
      <c r="I12" s="12">
        <f t="shared" si="1"/>
        <v>-1.6927405541898644E-2</v>
      </c>
      <c r="J12" s="6" t="str">
        <f t="shared" si="2"/>
        <v>Performa Rendah</v>
      </c>
      <c r="K12" s="6" t="str">
        <f t="shared" si="3"/>
        <v>Performa Rendah</v>
      </c>
    </row>
    <row r="13" spans="1:11" x14ac:dyDescent="0.3">
      <c r="A13" s="20" t="s">
        <v>158</v>
      </c>
      <c r="B13" s="8">
        <v>17487</v>
      </c>
      <c r="C13" s="8">
        <v>0</v>
      </c>
      <c r="D13" s="8">
        <v>0.25679999999999997</v>
      </c>
      <c r="E13" s="8">
        <v>1.15E-2</v>
      </c>
      <c r="F13" s="8">
        <v>0</v>
      </c>
      <c r="G13" s="12">
        <f t="shared" si="0"/>
        <v>6.7074999999999996E-2</v>
      </c>
      <c r="H13" s="12">
        <f>'Rekap Bobot Akhir'!$B$70*C13+'Rekap Bobot Akhir'!$C$70*D13+'Rekap Bobot Akhir'!$D$70*E13+'Rekap Bobot Akhir'!$E$70*F13</f>
        <v>7.265321369208011E-2</v>
      </c>
      <c r="I13" s="12">
        <f t="shared" si="1"/>
        <v>5.578213692080114E-3</v>
      </c>
      <c r="J13" s="6" t="str">
        <f t="shared" si="2"/>
        <v>Performa Rendah</v>
      </c>
      <c r="K13" s="6" t="str">
        <f t="shared" si="3"/>
        <v>Performa Rendah</v>
      </c>
    </row>
    <row r="14" spans="1:11" x14ac:dyDescent="0.3">
      <c r="A14" s="20" t="s">
        <v>159</v>
      </c>
      <c r="B14" s="8">
        <v>10577</v>
      </c>
      <c r="C14" s="8">
        <v>3.9E-2</v>
      </c>
      <c r="D14" s="8">
        <v>0</v>
      </c>
      <c r="E14" s="8">
        <v>0.1671</v>
      </c>
      <c r="F14" s="8">
        <v>0</v>
      </c>
      <c r="G14" s="12">
        <f t="shared" si="0"/>
        <v>5.1525000000000001E-2</v>
      </c>
      <c r="H14" s="12">
        <f>'Rekap Bobot Akhir'!$B$70*C14+'Rekap Bobot Akhir'!$C$70*D14+'Rekap Bobot Akhir'!$D$70*E14+'Rekap Bobot Akhir'!$E$70*F14</f>
        <v>5.8629604668505413E-2</v>
      </c>
      <c r="I14" s="12">
        <f t="shared" si="1"/>
        <v>7.1046046685054112E-3</v>
      </c>
      <c r="J14" s="6" t="str">
        <f t="shared" si="2"/>
        <v>Performa Rendah</v>
      </c>
      <c r="K14" s="6" t="str">
        <f t="shared" si="3"/>
        <v>Performa Rendah</v>
      </c>
    </row>
    <row r="16" spans="1:11" x14ac:dyDescent="0.3">
      <c r="A16" s="26" t="s">
        <v>160</v>
      </c>
      <c r="B16" s="26"/>
      <c r="C16" s="26"/>
      <c r="D16" s="26"/>
      <c r="E16" s="26"/>
      <c r="F16" s="26"/>
      <c r="G16" s="26"/>
      <c r="H16" s="26"/>
      <c r="I16" s="26"/>
      <c r="J16" s="26"/>
      <c r="K16" s="26"/>
    </row>
  </sheetData>
  <mergeCells count="3">
    <mergeCell ref="A1:K1"/>
    <mergeCell ref="A2:K2"/>
    <mergeCell ref="A16:K1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Petunjuk</vt:lpstr>
      <vt:lpstr>Input Responden</vt:lpstr>
      <vt:lpstr>Perhitungan Detail</vt:lpstr>
      <vt:lpstr>Rekap Bobot Akhir</vt:lpstr>
      <vt:lpstr>Simulasi 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Ahmad Bahrun</cp:lastModifiedBy>
  <cp:revision>0</cp:revision>
  <dcterms:created xsi:type="dcterms:W3CDTF">2026-07-31T12:19:09Z</dcterms:created>
  <dcterms:modified xsi:type="dcterms:W3CDTF">2026-07-31T13:18:42Z</dcterms:modified>
  <dc:language>en-US</dc:language>
</cp:coreProperties>
</file>